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in\OneDrive\Nitin's Desktop\"/>
    </mc:Choice>
  </mc:AlternateContent>
  <xr:revisionPtr revIDLastSave="0" documentId="13_ncr:1_{C009DB22-DEA5-4277-9FE6-FCA295FB526A}" xr6:coauthVersionLast="47" xr6:coauthVersionMax="47" xr10:uidLastSave="{00000000-0000-0000-0000-000000000000}"/>
  <bookViews>
    <workbookView xWindow="-120" yWindow="-120" windowWidth="29040" windowHeight="15720" xr2:uid="{855F5339-8B92-4AED-845A-BE9AD14A457C}"/>
  </bookViews>
  <sheets>
    <sheet name="FY_25-26" sheetId="1" r:id="rId1"/>
  </sheets>
  <externalReferences>
    <externalReference r:id="rId2"/>
  </externalReferences>
  <definedNames>
    <definedName name="_xlnm._FilterDatabase" localSheetId="0" hidden="1">'FY_25-26'!#REF!</definedName>
    <definedName name="Business_Col">#REF!</definedName>
    <definedName name="DONE_DONE_DONE">_xlfn.VSTACK([1]Inhand_Dynamic!$BF$2:$BH$3,_xlfn.HSTACK(_xlfn.ANCHORARRAY([1]Inhand_Dynamic!$BF$4),_xlfn.ANCHORARRAY( [1]Inhand_Dynamic!$BG$4),_xlfn.ANCHORARRAY( [1]Inhand_Dynamic!$BH$4)))</definedName>
    <definedName name="Summmary_Col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6" i="1" l="1"/>
  <c r="S196" i="1"/>
  <c r="B196" i="1"/>
  <c r="A196" i="1"/>
  <c r="T195" i="1"/>
  <c r="S195" i="1"/>
  <c r="B195" i="1"/>
  <c r="A195" i="1"/>
  <c r="T194" i="1"/>
  <c r="S194" i="1"/>
  <c r="B194" i="1"/>
  <c r="A194" i="1"/>
  <c r="T193" i="1"/>
  <c r="S193" i="1"/>
  <c r="B193" i="1"/>
  <c r="A193" i="1"/>
  <c r="T192" i="1"/>
  <c r="S192" i="1"/>
  <c r="B192" i="1"/>
  <c r="A192" i="1"/>
  <c r="T191" i="1"/>
  <c r="S191" i="1"/>
  <c r="B191" i="1"/>
  <c r="A191" i="1"/>
  <c r="T190" i="1"/>
  <c r="S190" i="1"/>
  <c r="B190" i="1"/>
  <c r="A190" i="1"/>
  <c r="T189" i="1"/>
  <c r="S189" i="1"/>
  <c r="B189" i="1"/>
  <c r="A189" i="1"/>
  <c r="T188" i="1"/>
  <c r="S188" i="1"/>
  <c r="B188" i="1"/>
  <c r="A188" i="1"/>
  <c r="T187" i="1"/>
  <c r="S187" i="1"/>
  <c r="B187" i="1"/>
  <c r="A187" i="1"/>
  <c r="T186" i="1"/>
  <c r="S186" i="1"/>
  <c r="B186" i="1"/>
  <c r="A186" i="1"/>
  <c r="T185" i="1"/>
  <c r="S185" i="1"/>
  <c r="B185" i="1"/>
  <c r="A185" i="1"/>
  <c r="T184" i="1"/>
  <c r="S184" i="1"/>
  <c r="B184" i="1"/>
  <c r="A184" i="1"/>
  <c r="T183" i="1"/>
  <c r="S183" i="1"/>
  <c r="B183" i="1"/>
  <c r="A183" i="1"/>
  <c r="T182" i="1"/>
  <c r="S182" i="1"/>
  <c r="B182" i="1"/>
  <c r="A182" i="1"/>
  <c r="T181" i="1"/>
  <c r="S181" i="1"/>
  <c r="B181" i="1"/>
  <c r="A181" i="1"/>
  <c r="T180" i="1"/>
  <c r="S180" i="1"/>
  <c r="B180" i="1"/>
  <c r="A180" i="1"/>
  <c r="T179" i="1"/>
  <c r="S179" i="1"/>
  <c r="B179" i="1"/>
  <c r="A179" i="1"/>
  <c r="T178" i="1"/>
  <c r="S178" i="1"/>
  <c r="B178" i="1"/>
  <c r="A178" i="1"/>
  <c r="T177" i="1"/>
  <c r="S177" i="1"/>
  <c r="B177" i="1"/>
  <c r="A177" i="1"/>
  <c r="T176" i="1"/>
  <c r="S176" i="1"/>
  <c r="B176" i="1"/>
  <c r="A176" i="1"/>
  <c r="T175" i="1"/>
  <c r="S175" i="1"/>
  <c r="B175" i="1"/>
  <c r="A175" i="1"/>
  <c r="T174" i="1"/>
  <c r="S174" i="1"/>
  <c r="B174" i="1"/>
  <c r="A174" i="1"/>
  <c r="T173" i="1"/>
  <c r="S173" i="1"/>
  <c r="B173" i="1"/>
  <c r="A173" i="1"/>
  <c r="T172" i="1"/>
  <c r="S172" i="1"/>
  <c r="B172" i="1"/>
  <c r="A172" i="1"/>
  <c r="T171" i="1"/>
  <c r="S171" i="1"/>
  <c r="B171" i="1"/>
  <c r="A171" i="1"/>
  <c r="T170" i="1"/>
  <c r="S170" i="1"/>
  <c r="B170" i="1"/>
  <c r="A170" i="1"/>
  <c r="T169" i="1"/>
  <c r="S169" i="1"/>
  <c r="B169" i="1"/>
  <c r="A169" i="1"/>
  <c r="T168" i="1"/>
  <c r="S168" i="1"/>
  <c r="B168" i="1"/>
  <c r="A168" i="1"/>
  <c r="T167" i="1"/>
  <c r="S167" i="1"/>
  <c r="B167" i="1"/>
  <c r="A167" i="1"/>
  <c r="T166" i="1"/>
  <c r="S166" i="1"/>
  <c r="B166" i="1"/>
  <c r="A166" i="1"/>
  <c r="T165" i="1"/>
  <c r="S165" i="1"/>
  <c r="B165" i="1"/>
  <c r="A165" i="1"/>
  <c r="T164" i="1"/>
  <c r="S164" i="1"/>
  <c r="B164" i="1"/>
  <c r="A164" i="1"/>
  <c r="T163" i="1"/>
  <c r="S163" i="1"/>
  <c r="B163" i="1"/>
  <c r="A163" i="1"/>
  <c r="T162" i="1"/>
  <c r="S162" i="1"/>
  <c r="B162" i="1"/>
  <c r="A162" i="1"/>
  <c r="T161" i="1"/>
  <c r="S161" i="1"/>
  <c r="B161" i="1"/>
  <c r="A161" i="1"/>
  <c r="T160" i="1"/>
  <c r="S160" i="1"/>
  <c r="B160" i="1"/>
  <c r="A160" i="1"/>
  <c r="T159" i="1"/>
  <c r="S159" i="1"/>
  <c r="B159" i="1"/>
  <c r="A159" i="1"/>
  <c r="T158" i="1"/>
  <c r="S158" i="1"/>
  <c r="B158" i="1"/>
  <c r="A158" i="1"/>
  <c r="T157" i="1"/>
  <c r="S157" i="1"/>
  <c r="B157" i="1"/>
  <c r="A157" i="1"/>
  <c r="T156" i="1"/>
  <c r="S156" i="1"/>
  <c r="B156" i="1"/>
  <c r="A156" i="1"/>
  <c r="T155" i="1"/>
  <c r="S155" i="1"/>
  <c r="B155" i="1"/>
  <c r="A155" i="1"/>
  <c r="T154" i="1"/>
  <c r="S154" i="1"/>
  <c r="B154" i="1"/>
  <c r="A154" i="1"/>
  <c r="T153" i="1"/>
  <c r="S153" i="1"/>
  <c r="B153" i="1"/>
  <c r="A153" i="1"/>
  <c r="T152" i="1"/>
  <c r="S152" i="1"/>
  <c r="B152" i="1"/>
  <c r="A152" i="1"/>
  <c r="T151" i="1"/>
  <c r="S151" i="1"/>
  <c r="B151" i="1"/>
  <c r="A151" i="1"/>
  <c r="T150" i="1"/>
  <c r="S150" i="1"/>
  <c r="B150" i="1"/>
  <c r="A150" i="1"/>
  <c r="T149" i="1"/>
  <c r="S149" i="1"/>
  <c r="B149" i="1"/>
  <c r="A149" i="1"/>
  <c r="T148" i="1"/>
  <c r="S148" i="1"/>
  <c r="B148" i="1"/>
  <c r="A148" i="1"/>
  <c r="T147" i="1"/>
  <c r="S147" i="1"/>
  <c r="B147" i="1"/>
  <c r="A147" i="1"/>
  <c r="T146" i="1"/>
  <c r="S146" i="1"/>
  <c r="B146" i="1"/>
  <c r="A146" i="1"/>
  <c r="T145" i="1"/>
  <c r="S145" i="1"/>
  <c r="B145" i="1"/>
  <c r="A145" i="1"/>
  <c r="T144" i="1"/>
  <c r="S144" i="1"/>
  <c r="B144" i="1"/>
  <c r="A144" i="1"/>
  <c r="T143" i="1"/>
  <c r="S143" i="1"/>
  <c r="B143" i="1"/>
  <c r="A143" i="1"/>
  <c r="T142" i="1"/>
  <c r="S142" i="1"/>
  <c r="B142" i="1"/>
  <c r="A142" i="1"/>
  <c r="T141" i="1"/>
  <c r="S141" i="1"/>
  <c r="B141" i="1"/>
  <c r="A141" i="1"/>
  <c r="T140" i="1"/>
  <c r="S140" i="1"/>
  <c r="B140" i="1"/>
  <c r="A140" i="1"/>
  <c r="T139" i="1"/>
  <c r="S139" i="1"/>
  <c r="B139" i="1"/>
  <c r="A139" i="1"/>
  <c r="T138" i="1"/>
  <c r="S138" i="1"/>
  <c r="B138" i="1"/>
  <c r="A138" i="1"/>
  <c r="T137" i="1"/>
  <c r="S137" i="1"/>
  <c r="B137" i="1"/>
  <c r="A137" i="1"/>
  <c r="T136" i="1"/>
  <c r="S136" i="1"/>
  <c r="B136" i="1"/>
  <c r="A136" i="1"/>
  <c r="T135" i="1"/>
  <c r="S135" i="1"/>
  <c r="B135" i="1"/>
  <c r="A135" i="1"/>
  <c r="T134" i="1"/>
  <c r="S134" i="1"/>
  <c r="B134" i="1"/>
  <c r="A134" i="1"/>
  <c r="T133" i="1"/>
  <c r="S133" i="1"/>
  <c r="B133" i="1"/>
  <c r="A133" i="1"/>
  <c r="T132" i="1"/>
  <c r="S132" i="1"/>
  <c r="B132" i="1"/>
  <c r="A132" i="1"/>
  <c r="T131" i="1"/>
  <c r="S131" i="1"/>
  <c r="B131" i="1"/>
  <c r="A131" i="1"/>
  <c r="T130" i="1"/>
  <c r="S130" i="1"/>
  <c r="B130" i="1"/>
  <c r="A130" i="1"/>
  <c r="T129" i="1"/>
  <c r="S129" i="1"/>
  <c r="B129" i="1"/>
  <c r="A129" i="1"/>
  <c r="T128" i="1"/>
  <c r="S128" i="1"/>
  <c r="B128" i="1"/>
  <c r="A128" i="1"/>
  <c r="T127" i="1"/>
  <c r="S127" i="1"/>
  <c r="B127" i="1"/>
  <c r="A127" i="1"/>
  <c r="T126" i="1"/>
  <c r="S126" i="1"/>
  <c r="B126" i="1"/>
  <c r="A126" i="1"/>
  <c r="T125" i="1"/>
  <c r="S125" i="1"/>
  <c r="B125" i="1"/>
  <c r="A125" i="1"/>
  <c r="T124" i="1"/>
  <c r="S124" i="1"/>
  <c r="B124" i="1"/>
  <c r="A124" i="1"/>
  <c r="T123" i="1"/>
  <c r="S123" i="1"/>
  <c r="B123" i="1"/>
  <c r="A123" i="1"/>
  <c r="T122" i="1"/>
  <c r="S122" i="1"/>
  <c r="B122" i="1"/>
  <c r="A122" i="1"/>
  <c r="T121" i="1"/>
  <c r="S121" i="1"/>
  <c r="B121" i="1"/>
  <c r="A121" i="1"/>
  <c r="T120" i="1"/>
  <c r="S120" i="1"/>
  <c r="B120" i="1"/>
  <c r="A120" i="1"/>
  <c r="T119" i="1"/>
  <c r="S119" i="1"/>
  <c r="B119" i="1"/>
  <c r="A119" i="1"/>
  <c r="T118" i="1"/>
  <c r="S118" i="1"/>
  <c r="B118" i="1"/>
  <c r="A118" i="1"/>
  <c r="T117" i="1"/>
  <c r="S117" i="1"/>
  <c r="B117" i="1"/>
  <c r="A117" i="1"/>
  <c r="T116" i="1"/>
  <c r="S116" i="1"/>
  <c r="B116" i="1"/>
  <c r="A116" i="1"/>
  <c r="T115" i="1"/>
  <c r="S115" i="1"/>
  <c r="B115" i="1"/>
  <c r="A115" i="1"/>
  <c r="T114" i="1"/>
  <c r="S114" i="1"/>
  <c r="B114" i="1"/>
  <c r="A114" i="1"/>
  <c r="T113" i="1"/>
  <c r="S113" i="1"/>
  <c r="B113" i="1"/>
  <c r="A113" i="1"/>
  <c r="T112" i="1"/>
  <c r="S112" i="1"/>
  <c r="B112" i="1"/>
  <c r="A112" i="1"/>
  <c r="T111" i="1"/>
  <c r="S111" i="1"/>
  <c r="B111" i="1"/>
  <c r="A111" i="1"/>
  <c r="T110" i="1"/>
  <c r="S110" i="1"/>
  <c r="B110" i="1"/>
  <c r="A110" i="1"/>
  <c r="T109" i="1"/>
  <c r="S109" i="1"/>
  <c r="B109" i="1"/>
  <c r="A109" i="1"/>
  <c r="T108" i="1"/>
  <c r="S108" i="1"/>
  <c r="B108" i="1"/>
  <c r="A108" i="1"/>
  <c r="T107" i="1"/>
  <c r="S107" i="1"/>
  <c r="B107" i="1"/>
  <c r="A107" i="1"/>
  <c r="T106" i="1"/>
  <c r="S106" i="1"/>
  <c r="B106" i="1"/>
  <c r="A106" i="1"/>
  <c r="T105" i="1"/>
  <c r="S105" i="1"/>
  <c r="B105" i="1"/>
  <c r="A105" i="1"/>
  <c r="T104" i="1"/>
  <c r="S104" i="1"/>
  <c r="B104" i="1"/>
  <c r="A104" i="1"/>
  <c r="T103" i="1"/>
  <c r="S103" i="1"/>
  <c r="B103" i="1"/>
  <c r="A103" i="1"/>
  <c r="T102" i="1"/>
  <c r="S102" i="1"/>
  <c r="B102" i="1"/>
  <c r="A102" i="1"/>
  <c r="T101" i="1"/>
  <c r="S101" i="1"/>
  <c r="B101" i="1"/>
  <c r="A101" i="1"/>
  <c r="T100" i="1"/>
  <c r="S100" i="1"/>
  <c r="B100" i="1"/>
  <c r="A100" i="1"/>
  <c r="T99" i="1"/>
  <c r="S99" i="1"/>
  <c r="B99" i="1"/>
  <c r="A99" i="1"/>
  <c r="T98" i="1"/>
  <c r="S98" i="1"/>
  <c r="B98" i="1"/>
  <c r="A98" i="1"/>
  <c r="T97" i="1"/>
  <c r="S97" i="1"/>
  <c r="B97" i="1"/>
  <c r="A97" i="1"/>
  <c r="T96" i="1"/>
  <c r="S96" i="1"/>
  <c r="B96" i="1"/>
  <c r="A96" i="1"/>
  <c r="T95" i="1"/>
  <c r="S95" i="1"/>
  <c r="B95" i="1"/>
  <c r="A95" i="1"/>
  <c r="T94" i="1"/>
  <c r="S94" i="1"/>
  <c r="B94" i="1"/>
  <c r="A94" i="1"/>
  <c r="T93" i="1"/>
  <c r="S93" i="1"/>
  <c r="B93" i="1"/>
  <c r="A93" i="1"/>
  <c r="T92" i="1"/>
  <c r="S92" i="1"/>
  <c r="B92" i="1"/>
  <c r="A92" i="1"/>
  <c r="T91" i="1"/>
  <c r="S91" i="1"/>
  <c r="B91" i="1"/>
  <c r="A91" i="1"/>
  <c r="T90" i="1"/>
  <c r="S90" i="1"/>
  <c r="B90" i="1"/>
  <c r="A90" i="1"/>
  <c r="T89" i="1"/>
  <c r="S89" i="1"/>
  <c r="B89" i="1"/>
  <c r="A89" i="1"/>
  <c r="T88" i="1"/>
  <c r="S88" i="1"/>
  <c r="B88" i="1"/>
  <c r="A88" i="1"/>
  <c r="T87" i="1"/>
  <c r="S87" i="1"/>
  <c r="B87" i="1"/>
  <c r="A87" i="1"/>
  <c r="T86" i="1"/>
  <c r="S86" i="1"/>
  <c r="B86" i="1"/>
  <c r="A86" i="1"/>
  <c r="T85" i="1"/>
  <c r="S85" i="1"/>
  <c r="B85" i="1"/>
  <c r="A85" i="1"/>
  <c r="T84" i="1"/>
  <c r="S84" i="1"/>
  <c r="B84" i="1"/>
  <c r="A84" i="1"/>
  <c r="T83" i="1"/>
  <c r="S83" i="1"/>
  <c r="B83" i="1"/>
  <c r="A83" i="1"/>
  <c r="T82" i="1"/>
  <c r="S82" i="1"/>
  <c r="B82" i="1"/>
  <c r="A82" i="1"/>
  <c r="T81" i="1"/>
  <c r="S81" i="1"/>
  <c r="B81" i="1"/>
  <c r="A81" i="1"/>
  <c r="T80" i="1"/>
  <c r="S80" i="1"/>
  <c r="B80" i="1"/>
  <c r="A80" i="1"/>
  <c r="T79" i="1"/>
  <c r="S79" i="1"/>
  <c r="B79" i="1"/>
  <c r="A79" i="1"/>
  <c r="T78" i="1"/>
  <c r="S78" i="1"/>
  <c r="B78" i="1"/>
  <c r="A78" i="1"/>
  <c r="T77" i="1"/>
  <c r="S77" i="1"/>
  <c r="B77" i="1"/>
  <c r="A77" i="1"/>
  <c r="T76" i="1"/>
  <c r="S76" i="1"/>
  <c r="B76" i="1"/>
  <c r="A76" i="1"/>
  <c r="T75" i="1"/>
  <c r="S75" i="1"/>
  <c r="B75" i="1"/>
  <c r="A75" i="1"/>
  <c r="T74" i="1"/>
  <c r="S74" i="1"/>
  <c r="B74" i="1"/>
  <c r="A74" i="1"/>
  <c r="T73" i="1"/>
  <c r="S73" i="1"/>
  <c r="B73" i="1"/>
  <c r="A73" i="1"/>
  <c r="T72" i="1"/>
  <c r="S72" i="1"/>
  <c r="B72" i="1"/>
  <c r="A72" i="1"/>
  <c r="T71" i="1"/>
  <c r="S71" i="1"/>
  <c r="B71" i="1"/>
  <c r="A71" i="1"/>
  <c r="T70" i="1"/>
  <c r="S70" i="1"/>
  <c r="B70" i="1"/>
  <c r="A70" i="1"/>
  <c r="T69" i="1"/>
  <c r="S69" i="1"/>
  <c r="B69" i="1"/>
  <c r="A69" i="1"/>
  <c r="T68" i="1"/>
  <c r="S68" i="1"/>
  <c r="B68" i="1"/>
  <c r="A68" i="1"/>
  <c r="T67" i="1"/>
  <c r="S67" i="1"/>
  <c r="B67" i="1"/>
  <c r="A67" i="1"/>
  <c r="T66" i="1"/>
  <c r="S66" i="1"/>
  <c r="B66" i="1"/>
  <c r="A66" i="1"/>
  <c r="T65" i="1"/>
  <c r="S65" i="1"/>
  <c r="B65" i="1"/>
  <c r="A65" i="1"/>
  <c r="T64" i="1"/>
  <c r="S64" i="1"/>
  <c r="B64" i="1"/>
  <c r="A64" i="1"/>
  <c r="T63" i="1"/>
  <c r="S63" i="1"/>
  <c r="B63" i="1"/>
  <c r="A63" i="1"/>
  <c r="T62" i="1"/>
  <c r="S62" i="1"/>
  <c r="B62" i="1"/>
  <c r="A62" i="1"/>
  <c r="T61" i="1"/>
  <c r="S61" i="1"/>
  <c r="B61" i="1"/>
  <c r="A61" i="1"/>
  <c r="T60" i="1"/>
  <c r="S60" i="1"/>
  <c r="B60" i="1"/>
  <c r="A60" i="1"/>
  <c r="T59" i="1"/>
  <c r="S59" i="1"/>
  <c r="B59" i="1"/>
  <c r="A59" i="1"/>
  <c r="T58" i="1"/>
  <c r="S58" i="1"/>
  <c r="B58" i="1"/>
  <c r="A58" i="1"/>
  <c r="T57" i="1"/>
  <c r="S57" i="1"/>
  <c r="B57" i="1"/>
  <c r="A57" i="1"/>
  <c r="T56" i="1"/>
  <c r="S56" i="1"/>
  <c r="B56" i="1"/>
  <c r="A56" i="1"/>
  <c r="T55" i="1"/>
  <c r="S55" i="1"/>
  <c r="B55" i="1"/>
  <c r="A55" i="1"/>
  <c r="T54" i="1"/>
  <c r="S54" i="1"/>
  <c r="B54" i="1"/>
  <c r="A54" i="1"/>
  <c r="T53" i="1"/>
  <c r="S53" i="1"/>
  <c r="B53" i="1"/>
  <c r="A53" i="1"/>
  <c r="T52" i="1"/>
  <c r="S52" i="1"/>
  <c r="B52" i="1"/>
  <c r="A52" i="1"/>
  <c r="T51" i="1"/>
  <c r="S51" i="1"/>
  <c r="B51" i="1"/>
  <c r="A51" i="1"/>
  <c r="T50" i="1"/>
  <c r="S50" i="1"/>
  <c r="B50" i="1"/>
  <c r="A50" i="1"/>
  <c r="T49" i="1"/>
  <c r="S49" i="1"/>
  <c r="B49" i="1"/>
  <c r="A49" i="1"/>
  <c r="T48" i="1"/>
  <c r="S48" i="1"/>
  <c r="B48" i="1"/>
  <c r="A48" i="1"/>
  <c r="T47" i="1"/>
  <c r="S47" i="1"/>
  <c r="B47" i="1"/>
  <c r="A47" i="1"/>
  <c r="T46" i="1"/>
  <c r="S46" i="1"/>
  <c r="B46" i="1"/>
  <c r="A46" i="1"/>
  <c r="T45" i="1"/>
  <c r="S45" i="1"/>
  <c r="B45" i="1"/>
  <c r="A45" i="1"/>
  <c r="T44" i="1"/>
  <c r="S44" i="1"/>
  <c r="B44" i="1"/>
  <c r="A44" i="1"/>
  <c r="T43" i="1"/>
  <c r="S43" i="1"/>
  <c r="B43" i="1"/>
  <c r="A43" i="1"/>
  <c r="T42" i="1"/>
  <c r="S42" i="1"/>
  <c r="B42" i="1"/>
  <c r="A42" i="1"/>
  <c r="T41" i="1"/>
  <c r="S41" i="1"/>
  <c r="B41" i="1"/>
  <c r="A41" i="1"/>
  <c r="T40" i="1"/>
  <c r="S40" i="1"/>
  <c r="B40" i="1"/>
  <c r="A40" i="1"/>
  <c r="T39" i="1"/>
  <c r="S39" i="1"/>
  <c r="B39" i="1"/>
  <c r="A39" i="1"/>
  <c r="T38" i="1"/>
  <c r="S38" i="1"/>
  <c r="B38" i="1"/>
  <c r="A38" i="1"/>
  <c r="T37" i="1"/>
  <c r="S37" i="1"/>
  <c r="B37" i="1"/>
  <c r="A37" i="1"/>
  <c r="T36" i="1"/>
  <c r="S36" i="1"/>
  <c r="B36" i="1"/>
  <c r="A36" i="1"/>
  <c r="T35" i="1"/>
  <c r="S35" i="1"/>
  <c r="B35" i="1"/>
  <c r="A35" i="1"/>
  <c r="T34" i="1"/>
  <c r="S34" i="1"/>
  <c r="B34" i="1"/>
  <c r="A34" i="1"/>
  <c r="T33" i="1"/>
  <c r="S33" i="1"/>
  <c r="B33" i="1"/>
  <c r="A33" i="1"/>
  <c r="T32" i="1"/>
  <c r="S32" i="1"/>
  <c r="B32" i="1"/>
  <c r="A32" i="1"/>
  <c r="T31" i="1"/>
  <c r="S31" i="1"/>
  <c r="B31" i="1"/>
  <c r="A31" i="1"/>
  <c r="T30" i="1"/>
  <c r="S30" i="1"/>
  <c r="B30" i="1"/>
  <c r="A30" i="1"/>
  <c r="T29" i="1"/>
  <c r="S29" i="1"/>
  <c r="B29" i="1"/>
  <c r="A29" i="1"/>
  <c r="T28" i="1"/>
  <c r="S28" i="1"/>
  <c r="B28" i="1"/>
  <c r="A28" i="1"/>
  <c r="T27" i="1"/>
  <c r="S27" i="1"/>
  <c r="B27" i="1"/>
  <c r="A27" i="1"/>
  <c r="T26" i="1"/>
  <c r="S26" i="1"/>
  <c r="B26" i="1"/>
  <c r="A26" i="1"/>
  <c r="T25" i="1"/>
  <c r="S25" i="1"/>
  <c r="B25" i="1"/>
  <c r="A25" i="1"/>
  <c r="T24" i="1"/>
  <c r="S24" i="1"/>
  <c r="B24" i="1"/>
  <c r="A24" i="1"/>
  <c r="T23" i="1"/>
  <c r="S23" i="1"/>
  <c r="B23" i="1"/>
  <c r="A23" i="1"/>
  <c r="T22" i="1"/>
  <c r="S22" i="1"/>
  <c r="B22" i="1"/>
  <c r="A22" i="1"/>
  <c r="T21" i="1"/>
  <c r="S21" i="1"/>
  <c r="B21" i="1"/>
  <c r="A21" i="1"/>
  <c r="T20" i="1"/>
  <c r="S20" i="1"/>
  <c r="B20" i="1"/>
  <c r="A20" i="1"/>
  <c r="T19" i="1"/>
  <c r="S19" i="1"/>
  <c r="B19" i="1"/>
  <c r="A19" i="1"/>
  <c r="T18" i="1"/>
  <c r="S18" i="1"/>
  <c r="B18" i="1"/>
  <c r="A18" i="1"/>
  <c r="T17" i="1"/>
  <c r="S17" i="1"/>
  <c r="B17" i="1"/>
  <c r="A17" i="1"/>
  <c r="T16" i="1"/>
  <c r="S16" i="1"/>
  <c r="B16" i="1"/>
  <c r="A16" i="1"/>
  <c r="T15" i="1"/>
  <c r="S15" i="1"/>
  <c r="B15" i="1"/>
  <c r="A15" i="1"/>
  <c r="T14" i="1"/>
  <c r="S14" i="1"/>
  <c r="B14" i="1"/>
  <c r="A14" i="1"/>
  <c r="T13" i="1"/>
  <c r="S13" i="1"/>
  <c r="B13" i="1"/>
  <c r="A13" i="1"/>
  <c r="T12" i="1"/>
  <c r="S12" i="1"/>
  <c r="B12" i="1"/>
  <c r="A12" i="1"/>
  <c r="T11" i="1"/>
  <c r="S11" i="1"/>
  <c r="B11" i="1"/>
  <c r="A11" i="1"/>
  <c r="T10" i="1"/>
  <c r="S10" i="1"/>
  <c r="B10" i="1"/>
  <c r="A10" i="1"/>
  <c r="T9" i="1"/>
  <c r="S9" i="1"/>
  <c r="B9" i="1"/>
  <c r="A9" i="1"/>
  <c r="T8" i="1"/>
  <c r="S8" i="1"/>
  <c r="B8" i="1"/>
  <c r="A8" i="1"/>
  <c r="T7" i="1"/>
  <c r="S7" i="1"/>
  <c r="B7" i="1"/>
  <c r="A7" i="1"/>
  <c r="T6" i="1"/>
  <c r="S6" i="1"/>
  <c r="B6" i="1"/>
  <c r="A6" i="1"/>
  <c r="T5" i="1"/>
  <c r="S5" i="1"/>
  <c r="B5" i="1"/>
  <c r="A5" i="1"/>
  <c r="T4" i="1"/>
  <c r="S4" i="1"/>
  <c r="B4" i="1"/>
  <c r="A4" i="1"/>
  <c r="T3" i="1"/>
  <c r="S3" i="1"/>
  <c r="B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IntoIndia</author>
  </authors>
  <commentList>
    <comment ref="K40" authorId="0" shapeId="0" xr:uid="{D4FC9352-63F0-4679-B2D1-59874BEA15D2}">
      <text>
        <r>
          <rPr>
            <b/>
            <sz val="9"/>
            <color indexed="81"/>
            <rFont val="Tahoma"/>
            <family val="2"/>
          </rPr>
          <t>IntoIndia:</t>
        </r>
        <r>
          <rPr>
            <sz val="9"/>
            <color indexed="81"/>
            <rFont val="Tahoma"/>
            <family val="2"/>
          </rPr>
          <t xml:space="preserve">
Shipped with 351 As per merchant but on portal its 100</t>
        </r>
      </text>
    </comment>
  </commentList>
</comments>
</file>

<file path=xl/sharedStrings.xml><?xml version="1.0" encoding="utf-8"?>
<sst xmlns="http://schemas.openxmlformats.org/spreadsheetml/2006/main" count="3504" uniqueCount="638">
  <si>
    <t>BUSINESS UNITS</t>
  </si>
  <si>
    <t>SR. NO.</t>
  </si>
  <si>
    <t>SUPPLIER</t>
  </si>
  <si>
    <t>BRAND</t>
  </si>
  <si>
    <t>BUYER NAME</t>
  </si>
  <si>
    <t>DEPARTMENT</t>
  </si>
  <si>
    <t>CATEGORY</t>
  </si>
  <si>
    <t>STYLE NO</t>
  </si>
  <si>
    <t>NEW/REBUY</t>
  </si>
  <si>
    <t>COLOR</t>
  </si>
  <si>
    <t>PO NO</t>
  </si>
  <si>
    <t>COUNTRY</t>
  </si>
  <si>
    <t>Supplier Ref. No.</t>
  </si>
  <si>
    <t>Product Description</t>
  </si>
  <si>
    <t>UK PO RECD DATE</t>
  </si>
  <si>
    <t>TOTAL ORDER QTY</t>
  </si>
  <si>
    <t>USD PRICE PER PC</t>
  </si>
  <si>
    <t>GBP PRICE PER PC</t>
  </si>
  <si>
    <t>USD 
TOTAL PO VALUE</t>
  </si>
  <si>
    <t>GBP 
TOTAL PO VALUE</t>
  </si>
  <si>
    <t>CONFIRMED EX-FACTORY</t>
  </si>
  <si>
    <t>REVISED EX- FACTORY</t>
  </si>
  <si>
    <t>MODE</t>
  </si>
  <si>
    <t>INAYA</t>
  </si>
  <si>
    <t>NASTYGAL</t>
  </si>
  <si>
    <t>KIERAN DAVIES</t>
  </si>
  <si>
    <t>LADIES</t>
  </si>
  <si>
    <t>SOFT WOVEN</t>
  </si>
  <si>
    <t>REBUY</t>
  </si>
  <si>
    <t>BLACK</t>
  </si>
  <si>
    <t>UK</t>
  </si>
  <si>
    <t>-</t>
  </si>
  <si>
    <t>FOB SEA</t>
  </si>
  <si>
    <t>MIR</t>
  </si>
  <si>
    <t>COAST</t>
  </si>
  <si>
    <t>MADDY CHILDS</t>
  </si>
  <si>
    <t>NEW</t>
  </si>
  <si>
    <t>CREST DESIGN</t>
  </si>
  <si>
    <t>EMMA HAMILTON</t>
  </si>
  <si>
    <t>IVORY</t>
  </si>
  <si>
    <t>FOB AIR</t>
  </si>
  <si>
    <t>SAGE</t>
  </si>
  <si>
    <t>BLUSH</t>
  </si>
  <si>
    <t>PINK</t>
  </si>
  <si>
    <t>NAVY</t>
  </si>
  <si>
    <t>BANSWARA</t>
  </si>
  <si>
    <t>BURTON</t>
  </si>
  <si>
    <t>ISABELLA CHAPMAN</t>
  </si>
  <si>
    <t>BBB05806</t>
  </si>
  <si>
    <t>AA6661683F1</t>
  </si>
  <si>
    <t>Black SkinnyFit TuxedoSuit Trouserblack</t>
  </si>
  <si>
    <t>BBB05802</t>
  </si>
  <si>
    <t>AA66608F1B</t>
  </si>
  <si>
    <t>Black SlimFit TuxedoSuit Jacketblack</t>
  </si>
  <si>
    <t>BBB05803</t>
  </si>
  <si>
    <t>AA6661683F</t>
  </si>
  <si>
    <t>Black SlimFit TuxedoSuit Trouserblack</t>
  </si>
  <si>
    <t>BBB05804</t>
  </si>
  <si>
    <t>AA66616988</t>
  </si>
  <si>
    <t>Black SlimFit TuxedoSuitWaistcoatblack</t>
  </si>
  <si>
    <t>WINDESON TRADEMART</t>
  </si>
  <si>
    <t>GEORGIA MAY BARTOSZ</t>
  </si>
  <si>
    <t>BGG27898</t>
  </si>
  <si>
    <t>GREEN</t>
  </si>
  <si>
    <t>GB68B69844</t>
  </si>
  <si>
    <t>Check Asymmetric Cap Sleeve Top</t>
  </si>
  <si>
    <t>BGG27899</t>
  </si>
  <si>
    <t>GB68B6F737</t>
  </si>
  <si>
    <t>Check Wrap Maxi Skirt</t>
  </si>
  <si>
    <t>YELLOW</t>
  </si>
  <si>
    <t>NAMDEV</t>
  </si>
  <si>
    <t>PLT</t>
  </si>
  <si>
    <t>OLIVIA KANE</t>
  </si>
  <si>
    <t>MEN</t>
  </si>
  <si>
    <t>BBB06055</t>
  </si>
  <si>
    <t>AA66FBFD51</t>
  </si>
  <si>
    <t>NavyRegular FitSuit Jacketnavy</t>
  </si>
  <si>
    <t>BBB06058</t>
  </si>
  <si>
    <t>AA66FC0105</t>
  </si>
  <si>
    <t>BlackRegular FitSuitTrousersblack</t>
  </si>
  <si>
    <t>BBB06056</t>
  </si>
  <si>
    <t>AA66FBFF87</t>
  </si>
  <si>
    <t>NavyRegular FitSuitTrousersnavy</t>
  </si>
  <si>
    <t>BGG27906</t>
  </si>
  <si>
    <t>LEMON</t>
  </si>
  <si>
    <t>GB68B84DF3</t>
  </si>
  <si>
    <t>ChiffonPaintedFloral GodetCowl MaxiDresslemon</t>
  </si>
  <si>
    <t>N&amp;A Design</t>
  </si>
  <si>
    <t>WALLIS</t>
  </si>
  <si>
    <t>FLORENCE DRIVER</t>
  </si>
  <si>
    <t>BYY17071</t>
  </si>
  <si>
    <t>SS26-EH054</t>
  </si>
  <si>
    <t>MeshPleatedTwist WaistMidi Dresspink</t>
  </si>
  <si>
    <t>BYY17072</t>
  </si>
  <si>
    <t>BYY09831</t>
  </si>
  <si>
    <t>Floral MeshSatin TieMidi Dressnavy</t>
  </si>
  <si>
    <t>BYY17073</t>
  </si>
  <si>
    <t>KHSS26-123</t>
  </si>
  <si>
    <t>Mesh Lace TrimMaxi Dress Navy</t>
  </si>
  <si>
    <t>BYY17070</t>
  </si>
  <si>
    <t>BLUE</t>
  </si>
  <si>
    <t>Petite MeshPleatedTwist WaistMidi Dressblue</t>
  </si>
  <si>
    <t>BLACK LABEL</t>
  </si>
  <si>
    <t>BOOHOO MAN</t>
  </si>
  <si>
    <t>KM</t>
  </si>
  <si>
    <t>SILVER</t>
  </si>
  <si>
    <t>BCC10211</t>
  </si>
  <si>
    <t>OB1785</t>
  </si>
  <si>
    <t>Beaded andEmbellishedCap SleeveFishtailWeddingDress ivory</t>
  </si>
  <si>
    <t>BCC06877</t>
  </si>
  <si>
    <t>bardotlong</t>
  </si>
  <si>
    <t>Bardot LongSleeveWrap SkirtMini Dressivory</t>
  </si>
  <si>
    <t>BCC06124</t>
  </si>
  <si>
    <t>MALBEC</t>
  </si>
  <si>
    <t>MegaRuffleGeorgette</t>
  </si>
  <si>
    <t>CoastHonouredRuffleGeorgetteMaxiBridesmaidDressmalbec</t>
  </si>
  <si>
    <t>DP</t>
  </si>
  <si>
    <t>SASKIA VERDERBER</t>
  </si>
  <si>
    <t>FLORAL</t>
  </si>
  <si>
    <t>RED</t>
  </si>
  <si>
    <t>BGG26907</t>
  </si>
  <si>
    <t>GB67ACC139</t>
  </si>
  <si>
    <t>Floral LaceTrim CutOut MiniDress black</t>
  </si>
  <si>
    <t>ANIMAL</t>
  </si>
  <si>
    <t>WHITE</t>
  </si>
  <si>
    <t>FREYA ZAJAC</t>
  </si>
  <si>
    <t>BEIGE</t>
  </si>
  <si>
    <t>ORANGE</t>
  </si>
  <si>
    <t>MULTI</t>
  </si>
  <si>
    <t>AYAAN APPARELS</t>
  </si>
  <si>
    <t>AW25WOV189EH</t>
  </si>
  <si>
    <t>AW25WOV190EH</t>
  </si>
  <si>
    <t>AW25WOV188EH</t>
  </si>
  <si>
    <t>MONO</t>
  </si>
  <si>
    <t>AW25WOV184EH</t>
  </si>
  <si>
    <t>LUCY SHEPPARD</t>
  </si>
  <si>
    <t>AW25WOV165EH</t>
  </si>
  <si>
    <t>BROWN</t>
  </si>
  <si>
    <t>CHOCOLATE</t>
  </si>
  <si>
    <t>ITF</t>
  </si>
  <si>
    <t>ANIA FAJGIER</t>
  </si>
  <si>
    <t>WAREHOUSE</t>
  </si>
  <si>
    <t>LIGHT BLUE</t>
  </si>
  <si>
    <t>TAN</t>
  </si>
  <si>
    <t>STELLIFY</t>
  </si>
  <si>
    <t>OASIS</t>
  </si>
  <si>
    <t>RANIKA EXPORTS</t>
  </si>
  <si>
    <t>EMMA HAMILTION</t>
  </si>
  <si>
    <t>ZOE KIRBY</t>
  </si>
  <si>
    <t>AMPH</t>
  </si>
  <si>
    <t>BOOHOO LADIES</t>
  </si>
  <si>
    <t>STONE</t>
  </si>
  <si>
    <t>CREAM</t>
  </si>
  <si>
    <t>BGG28163</t>
  </si>
  <si>
    <t>PURPLE</t>
  </si>
  <si>
    <t>AF68D53B30</t>
  </si>
  <si>
    <t>LobsterPrint SatinStripePajamaTrouser Setpurple</t>
  </si>
  <si>
    <t>ABBIE HAWTHORN</t>
  </si>
  <si>
    <t>BGG28159</t>
  </si>
  <si>
    <t>(AZ) ChiffonPaintedFloral GodetCowl MaxiDresslemon</t>
  </si>
  <si>
    <t>BGG28150</t>
  </si>
  <si>
    <t>(AZ) CheckLace TrimTie FrontMaxi Dressgreen</t>
  </si>
  <si>
    <t>BGG28147</t>
  </si>
  <si>
    <t>(AZ) ChiffonPolka DotNeck TieElasticatedHem MiniDress mono</t>
  </si>
  <si>
    <t>BGG28146</t>
  </si>
  <si>
    <t>(AZ) ChiffonCheck RuffleBardot TieFront MiniDress beige</t>
  </si>
  <si>
    <t>BGG28145</t>
  </si>
  <si>
    <t>(AZ) ChiffonCheck CamiTop beige</t>
  </si>
  <si>
    <t>BGG28144</t>
  </si>
  <si>
    <t>(AZ) ChiffonCheck BiasMaxi Skirtbeige</t>
  </si>
  <si>
    <t>U&amp;I FASHION</t>
  </si>
  <si>
    <t>BGG28175</t>
  </si>
  <si>
    <t>GB68DFD230</t>
  </si>
  <si>
    <t>Lace Pearl Tassel Shirt</t>
  </si>
  <si>
    <t>BGG28174</t>
  </si>
  <si>
    <t>GB68DFD083</t>
  </si>
  <si>
    <t>Lace Pearl Tassel Trim Ruffle Open Back Mini
Dress</t>
  </si>
  <si>
    <t>BGG28218</t>
  </si>
  <si>
    <t>BABY PINK</t>
  </si>
  <si>
    <t>GB68A735ED</t>
  </si>
  <si>
    <t>Two Layer Disc Embellished Strappy
Mini Dress</t>
  </si>
  <si>
    <t>BQQ23100</t>
  </si>
  <si>
    <t>SV68E3F2D1</t>
  </si>
  <si>
    <t>(S) DitsyShirredBodice MidiDress pink</t>
  </si>
  <si>
    <t>BQQ23099</t>
  </si>
  <si>
    <t>SV68E3F24E</t>
  </si>
  <si>
    <t>(S) SpotButtonThroughFlutterSleeve MidiDress black</t>
  </si>
  <si>
    <t>BQQ23098</t>
  </si>
  <si>
    <t>SV68E3F15B</t>
  </si>
  <si>
    <t>(S) GreenAnimalFlutterSleeveShirredWaist MidiDress green</t>
  </si>
  <si>
    <t>BCC12753</t>
  </si>
  <si>
    <t>BCC07492</t>
  </si>
  <si>
    <t>Cap SleevePearlEmbellishedPencil Dresssage</t>
  </si>
  <si>
    <t>BCC12752</t>
  </si>
  <si>
    <t>Cap SleevePearlEmbellishedPencil Dresslemon</t>
  </si>
  <si>
    <t>BGG28171</t>
  </si>
  <si>
    <t>STEEL</t>
  </si>
  <si>
    <t>AW25WOV063EH</t>
  </si>
  <si>
    <t>(Az) VelvetLace InsertButtonDetail CamiTop steel</t>
  </si>
  <si>
    <t>BGG28170</t>
  </si>
  <si>
    <t>AW25WOV052EH</t>
  </si>
  <si>
    <t>(AZ) VelvetLace TrimTie FrontMini Dresssteel</t>
  </si>
  <si>
    <t>BAA11344</t>
  </si>
  <si>
    <t>BS66EDA12E</t>
  </si>
  <si>
    <t>EmbellishedTieShoulderDress multi</t>
  </si>
  <si>
    <t>BAA11359</t>
  </si>
  <si>
    <t>NEUTRAL</t>
  </si>
  <si>
    <t>BS66EDA76B</t>
  </si>
  <si>
    <t>HandEmbellishedLong SleeveMidi Dressneutral</t>
  </si>
  <si>
    <t>BAA11358</t>
  </si>
  <si>
    <t>BS66EDA703</t>
  </si>
  <si>
    <t>FloralEmbellishedSplit MidiDress black</t>
  </si>
  <si>
    <t>CHAMPAGNE</t>
  </si>
  <si>
    <t>BQQ23156</t>
  </si>
  <si>
    <t>LS68E774CA</t>
  </si>
  <si>
    <t>Petite LaceTrim AngelSleeve MiniDress pink</t>
  </si>
  <si>
    <t>BQQ23155</t>
  </si>
  <si>
    <t>LS68E773D3</t>
  </si>
  <si>
    <t>PetiteContrastStitchShirredBodice PuffSleeve MidiDress blue</t>
  </si>
  <si>
    <t>BQQ23154</t>
  </si>
  <si>
    <t>LS68E771C8</t>
  </si>
  <si>
    <t>DP LuxeGatheredNeckline TieFront PuffSleeve MiniDress multi</t>
  </si>
  <si>
    <t>BQQ23153</t>
  </si>
  <si>
    <t>LS68E76FA8</t>
  </si>
  <si>
    <t>DP LuxeAngelSleeveTiered HemPrintedMaxi Dressmulti</t>
  </si>
  <si>
    <t>BQQ23158</t>
  </si>
  <si>
    <t>LS68E77E4C</t>
  </si>
  <si>
    <t>Petite RuffleShoulderPuff SleevePoplin MiniDress floral</t>
  </si>
  <si>
    <t>BQQ23157</t>
  </si>
  <si>
    <t>LS68E77D35</t>
  </si>
  <si>
    <t>Petite PuffSleevePrincessSeam PoplinMidi Dressfloral</t>
  </si>
  <si>
    <t>DUSTY BLUE</t>
  </si>
  <si>
    <t>SC0089/OM1078</t>
  </si>
  <si>
    <t>Cap SleevePearlEmbellishedPencil Dressdusty blue</t>
  </si>
  <si>
    <t>BCC06184</t>
  </si>
  <si>
    <t>ROSE PINK</t>
  </si>
  <si>
    <t>OM1263</t>
  </si>
  <si>
    <t>PartySequin LongSleeve MidiDress</t>
  </si>
  <si>
    <t>Cap SleevePearlEmbellishedPencil Dress</t>
  </si>
  <si>
    <t>BQQ23160</t>
  </si>
  <si>
    <t>LS68E77C80</t>
  </si>
  <si>
    <t>PetiteDroppedWaist TshirtMidi Dressblack</t>
  </si>
  <si>
    <t>BQQ23159</t>
  </si>
  <si>
    <t>LS68E38AE9</t>
  </si>
  <si>
    <t>Lace TrimAngelSleeve MiniDressorange</t>
  </si>
  <si>
    <t>BQQ22959</t>
  </si>
  <si>
    <t>HC156</t>
  </si>
  <si>
    <t>Zebra Pocket Detail Button Up Utility Blouse</t>
  </si>
  <si>
    <t>BGG28032</t>
  </si>
  <si>
    <t>AEPGB66E434D7</t>
  </si>
  <si>
    <t>(Az) Polka Dot Button Down Extreme Flared Sleeve Mini Dress</t>
  </si>
  <si>
    <t>BOWN CANN</t>
  </si>
  <si>
    <t>BKK27721</t>
  </si>
  <si>
    <t>JP101C</t>
  </si>
  <si>
    <t>Plus Size Scarf Mirrored Print Cotton Voile Maxi Beach Dress</t>
  </si>
  <si>
    <t>BGG28041</t>
  </si>
  <si>
    <t>KD680B5ADD</t>
  </si>
  <si>
    <t>(Az) Western Embroidered Fringe Shirt</t>
  </si>
  <si>
    <t>LAUREN HODGSON</t>
  </si>
  <si>
    <t>BWW09422</t>
  </si>
  <si>
    <t>BWW03546</t>
  </si>
  <si>
    <t>Long SleeveMetallicJaquard CutOut MaxiDress multi</t>
  </si>
  <si>
    <t>BWW09421</t>
  </si>
  <si>
    <t>BWW03905</t>
  </si>
  <si>
    <t>MetallicJacquardPuff SleeveBlouseblack</t>
  </si>
  <si>
    <t>BWW09420</t>
  </si>
  <si>
    <t>BWW03548</t>
  </si>
  <si>
    <t>MetallicFloralJacquardRuffleSleeve MaxiDress multi</t>
  </si>
  <si>
    <t>BQQ20988</t>
  </si>
  <si>
    <t>BABY BLUE</t>
  </si>
  <si>
    <t>TR67698CED</t>
  </si>
  <si>
    <t>RuffleSleeve TieBack MiniDress babyblue</t>
  </si>
  <si>
    <t>BQQ23122</t>
  </si>
  <si>
    <t>SV68E5256E</t>
  </si>
  <si>
    <t>Curve LaceTrim ButtonDetail AngelSleevePrinted MidiDress pink</t>
  </si>
  <si>
    <t>BQQ23103</t>
  </si>
  <si>
    <t>SV68E501D0</t>
  </si>
  <si>
    <t>Pink BeltedStripe ShirtMidi Dresspink</t>
  </si>
  <si>
    <t>BQQ23104</t>
  </si>
  <si>
    <t>SV68E51A40</t>
  </si>
  <si>
    <t>Blue FloralLace TrimButtonDetail AngelSleevePrinted MidiDress floral</t>
  </si>
  <si>
    <t>BQQ23106</t>
  </si>
  <si>
    <t>SV68E51B80</t>
  </si>
  <si>
    <t>Black FloralLace TrimPleat BodicePuff SleeveMidi Dressblack</t>
  </si>
  <si>
    <t>BQQ23107</t>
  </si>
  <si>
    <t>SV68E51C7E</t>
  </si>
  <si>
    <t>Blue PaisleyLace Trim VNeckPrintedPoplin MidiDress blue</t>
  </si>
  <si>
    <t>KHURANA EXPORTS</t>
  </si>
  <si>
    <t>GOLD</t>
  </si>
  <si>
    <t>OLIVE</t>
  </si>
  <si>
    <t>BCC12844</t>
  </si>
  <si>
    <t>BCC06125REFIT</t>
  </si>
  <si>
    <t>AngelSleeveTieredBridesmaidMaxi Dresslemon</t>
  </si>
  <si>
    <t>BCC12855</t>
  </si>
  <si>
    <t>OB2182</t>
  </si>
  <si>
    <t>EmbroideredFloralBlousonBodicePencil MidiDress navy</t>
  </si>
  <si>
    <t>LIGHT KHAKI</t>
  </si>
  <si>
    <t>HOLLY CLAPHAM</t>
  </si>
  <si>
    <t>PEACH</t>
  </si>
  <si>
    <t>HZZ44840</t>
  </si>
  <si>
    <t>NAMMJ68E7D49C</t>
  </si>
  <si>
    <t>Plus PoplinTie WaistMidaxi Skirtchocolate</t>
  </si>
  <si>
    <t>HZZ44915</t>
  </si>
  <si>
    <t>DWJ-SS2602-BLACK</t>
  </si>
  <si>
    <t>ShirredDetail MaxiSmock Dressblack</t>
  </si>
  <si>
    <t>HZZ44863</t>
  </si>
  <si>
    <t>DWJ-SS2631-BLACK</t>
  </si>
  <si>
    <t>CottonPoplinShirredBodice PuffSleeve MaxiDress black</t>
  </si>
  <si>
    <t>HZZ44854</t>
  </si>
  <si>
    <t>NAMMJ68E79AE9</t>
  </si>
  <si>
    <t>Plus PoplinSkaterDress black</t>
  </si>
  <si>
    <t>HZZ44898</t>
  </si>
  <si>
    <t>DWJ-SS2632-BLACK</t>
  </si>
  <si>
    <t>CottonPoplinShirredBodice PuffSleeve MiniDress black</t>
  </si>
  <si>
    <t>HZZ44845</t>
  </si>
  <si>
    <t>DWJ-SS2635-WHITE</t>
  </si>
  <si>
    <t>CottonPoplinShirredBodice VNeck PuffSleeve MiniDress white</t>
  </si>
  <si>
    <t>HZZ44893</t>
  </si>
  <si>
    <t>DWJ-SS2603-WHITE</t>
  </si>
  <si>
    <t>Tie ShoulderMini SmockDress white</t>
  </si>
  <si>
    <t>HZZ44901</t>
  </si>
  <si>
    <t>DWJ-SS2617-BLACK</t>
  </si>
  <si>
    <t>CottonPoplin HalterNeck PleatedMini Dressblack</t>
  </si>
  <si>
    <t>HZZ44875</t>
  </si>
  <si>
    <t>NAMMJ68E7CFF0</t>
  </si>
  <si>
    <t>Plus PoplinShirredBandeauTop black</t>
  </si>
  <si>
    <t>HZZ44842</t>
  </si>
  <si>
    <t>NAMMJ68E7BADA</t>
  </si>
  <si>
    <t>PlusCinchedDetailRuchedMaxi Dresslemon</t>
  </si>
  <si>
    <t>HZZ44847</t>
  </si>
  <si>
    <t>NAMMJ68E7BB90</t>
  </si>
  <si>
    <t>Plus TieShoulderPoplin Toplight khaki</t>
  </si>
  <si>
    <t>HZZ44843</t>
  </si>
  <si>
    <t>APRICOT</t>
  </si>
  <si>
    <t>DWJ-SS2626-APRICOT</t>
  </si>
  <si>
    <t>Stripe CottonPoplinShirredBodice MiniDressapricot</t>
  </si>
  <si>
    <t>HZZ44839</t>
  </si>
  <si>
    <t>NAMMJ68E79764</t>
  </si>
  <si>
    <t>Plus Cotton Poplin Pleated Maxi Dress</t>
  </si>
  <si>
    <t>HZZ44856</t>
  </si>
  <si>
    <t>DWJ-SS2641-BLACK</t>
  </si>
  <si>
    <t>Shirred DropHem ShiftDress black</t>
  </si>
  <si>
    <t>HZZ44830</t>
  </si>
  <si>
    <t>NAMMJ68E79BD9</t>
  </si>
  <si>
    <t>Plus CottonPoplinHalter neckPleatedMaxi Dressblack</t>
  </si>
  <si>
    <t>HZZ44900</t>
  </si>
  <si>
    <t>DWJ-SS2601-LEMON</t>
  </si>
  <si>
    <t>ShirredDetail MiniSmock Dresslemon</t>
  </si>
  <si>
    <t>HZZ44835</t>
  </si>
  <si>
    <t>NAMMJ68E79CD6</t>
  </si>
  <si>
    <t>Plus RuchedWaist DetailPoplin MaxiDress white</t>
  </si>
  <si>
    <t>HZZ44838</t>
  </si>
  <si>
    <t>DWJ-SS2625-BLACK</t>
  </si>
  <si>
    <t>CottonPoplin HalterNeck FrontGatheredSeam SkaterMaxi Dressblack</t>
  </si>
  <si>
    <t>HZZ44829</t>
  </si>
  <si>
    <t>NAMMJ68E7D19A</t>
  </si>
  <si>
    <t>Plus ShirredPoplin Topblack</t>
  </si>
  <si>
    <t>PLT-CO-ORD-003</t>
  </si>
  <si>
    <t>DAVESH TEXTILE</t>
  </si>
  <si>
    <t>EDEN ASHBY</t>
  </si>
  <si>
    <t>DARK BROWN</t>
  </si>
  <si>
    <t>DAISY COLLINS</t>
  </si>
  <si>
    <t>Ivory</t>
  </si>
  <si>
    <t>CMM23723</t>
  </si>
  <si>
    <t>FZY-NEWPLEATSSSHIRTNTRS</t>
  </si>
  <si>
    <t>CMM23725</t>
  </si>
  <si>
    <t>FZY-NEWPLEATOVRSZSHORTSET</t>
  </si>
  <si>
    <t>OVERSIZED SHORT SLEEVE IRREGULAR PLEAT SHORTS SET</t>
  </si>
  <si>
    <t>HZZ47118</t>
  </si>
  <si>
    <t>AEP-LINENSET1A</t>
  </si>
  <si>
    <t>LINEN LOOK BUTTON DOWN BELTED WAISTCOAT</t>
  </si>
  <si>
    <t>HZZ47119</t>
  </si>
  <si>
    <t>AEP-LINENSET1B</t>
  </si>
  <si>
    <t>LINEN TAILORED LONGLINE SHORT</t>
  </si>
  <si>
    <t>HZZ47120</t>
  </si>
  <si>
    <t>AEP-LINENSET1C</t>
  </si>
  <si>
    <t>LINEN V NECK BOXY SHIRT</t>
  </si>
  <si>
    <t>AVA SMITH</t>
  </si>
  <si>
    <t>BQQ23281</t>
  </si>
  <si>
    <t>DPK-JESSIELEATHPLATSANDAL</t>
  </si>
  <si>
    <t>WIDE FIT JESSIE LEATHER PLAITED FLAT SANDALS</t>
  </si>
  <si>
    <t>BQQ23282</t>
  </si>
  <si>
    <t>DPK-FIDELIALEATHSANDAL</t>
  </si>
  <si>
    <t>FIDELIA LEATHER FLAT SANDALS</t>
  </si>
  <si>
    <t>LUCY OSULLIVAN</t>
  </si>
  <si>
    <t>NIMIKA PATEL</t>
  </si>
  <si>
    <t>JJ Fabtex</t>
  </si>
  <si>
    <t>MENS</t>
  </si>
  <si>
    <t>JO CLAYTON</t>
  </si>
  <si>
    <t>GEORGIA ARNOLD</t>
  </si>
  <si>
    <t>HENRY HART</t>
  </si>
  <si>
    <t>Regular Fit Irregular Pleat Texture Short Sleeve Shirt and Relaxed Trouser Set</t>
  </si>
  <si>
    <t>Oversized Short Sleeve Irregular Pleat Shorts Set</t>
  </si>
  <si>
    <t>BURNT ORANGE</t>
  </si>
  <si>
    <t>CNP5377</t>
  </si>
  <si>
    <t>PETITE-005</t>
  </si>
  <si>
    <t>CONTRAST SLEEPOVER CLUB BUTTON UP PYJAMAS</t>
  </si>
  <si>
    <t>CNP5378</t>
  </si>
  <si>
    <t>CONTRAST BREAKFAST CLUB BUTTON UP PYJAMAS</t>
  </si>
  <si>
    <t>LUCY MURRAY</t>
  </si>
  <si>
    <t>CMM24476</t>
  </si>
  <si>
    <t>FZY-LM6914C298</t>
  </si>
  <si>
    <t>OVERSIZED BOXY HAMPTONS PRINTED LONG SLEEVE STRIPE SHIRT</t>
  </si>
  <si>
    <t>CMM24477</t>
  </si>
  <si>
    <t>FZY-LM69145F70</t>
  </si>
  <si>
    <t>OVERSIZED BOXY PRINTED LONG SLEEVE STRIPE SHIRT</t>
  </si>
  <si>
    <t>CNP5111</t>
  </si>
  <si>
    <t>PLT-CO-ORD-14</t>
  </si>
  <si>
    <t>TALL PINSTRIPE COTTON PUFFBALL SHORTS</t>
  </si>
  <si>
    <t>CNP5115</t>
  </si>
  <si>
    <t>BANDEAU FITTED TOP</t>
  </si>
  <si>
    <t>CNP5118</t>
  </si>
  <si>
    <t>RUCHED BUST TOP</t>
  </si>
  <si>
    <t>CNP5125</t>
  </si>
  <si>
    <t>ELASTICATED TROUSERS</t>
  </si>
  <si>
    <t>CNP5554</t>
  </si>
  <si>
    <t>JC691305CF</t>
  </si>
  <si>
    <t>PLUS WHITE FLOATY DRAWSTRING SHORTS</t>
  </si>
  <si>
    <t>LUCY O SULLIVAN</t>
  </si>
  <si>
    <t>HZZ23293</t>
  </si>
  <si>
    <t>MJCH67498D04</t>
  </si>
  <si>
    <t>MATERNITY COTTON POPLIN PUFF SLEEVE MAXI DRESS</t>
  </si>
  <si>
    <t>ELIANA MORRIS</t>
  </si>
  <si>
    <t>PLT-SS26SEP-018</t>
  </si>
  <si>
    <t>PLT-SS26SEP-046</t>
  </si>
  <si>
    <t>PLT-SS26SEP-043</t>
  </si>
  <si>
    <t>CNP5900</t>
  </si>
  <si>
    <t>PRINTED CHEESECLOTH WIDE LEG TROUSER</t>
  </si>
  <si>
    <t>CNP5901</t>
  </si>
  <si>
    <t>PLTSS26SEP018</t>
  </si>
  <si>
    <t>BLACK LONGLINE CHEESECLOTH BANDEAU TOP</t>
  </si>
  <si>
    <t>CNP5902</t>
  </si>
  <si>
    <t>BLACK WIDE LEG CHEESECLOTH TROUSER</t>
  </si>
  <si>
    <t>CNP5903</t>
  </si>
  <si>
    <t>PLTSS26SEP043</t>
  </si>
  <si>
    <t>BURNT ORANGE SEQUIN DETAIL HALTERNECK COTTON TOP</t>
  </si>
  <si>
    <t>CNP5904</t>
  </si>
  <si>
    <t>BURNT ORANGE SEQUIN DETAIL COTTON MAXI SKIRT</t>
  </si>
  <si>
    <t>CNP5905</t>
  </si>
  <si>
    <t>PLTSS26SEP038</t>
  </si>
  <si>
    <t>RED STRIPE HALTERNECK COTTON TOP MULTI</t>
  </si>
  <si>
    <t>CNP5906</t>
  </si>
  <si>
    <t>RED STRIPE COTTON WIDE LEG TROUSERS MULTI</t>
  </si>
  <si>
    <t>CNP5910</t>
  </si>
  <si>
    <t>YELLOW COTTON RUCHED TOP</t>
  </si>
  <si>
    <t>CNP5912</t>
  </si>
  <si>
    <t>YELLOW COTTON RUCHED SHORTS</t>
  </si>
  <si>
    <t>CNP5907</t>
  </si>
  <si>
    <t>PLT-SS26SEP-038</t>
  </si>
  <si>
    <t>PEACH STRIPE HALTERNECK COTTON TOP</t>
  </si>
  <si>
    <t>CNP5909</t>
  </si>
  <si>
    <t>PEACH STRIPE COTTON WIDE LEG TROUSERS</t>
  </si>
  <si>
    <t>CNP5908</t>
  </si>
  <si>
    <t>DARK BROWN SEQUIN DETAIL HALTERNECK COTTON TOP</t>
  </si>
  <si>
    <t>CNP5911</t>
  </si>
  <si>
    <t>DARK BROWN SEQUIN DETAIL COTTON MAXI SKIRT</t>
  </si>
  <si>
    <t>CNP5913</t>
  </si>
  <si>
    <t>PLTSS26SEP048</t>
  </si>
  <si>
    <t>PEACH BRODERIE BOW FRONT TOP</t>
  </si>
  <si>
    <t>DEEMART</t>
  </si>
  <si>
    <t>FROLIC</t>
  </si>
  <si>
    <t>BCC10360</t>
  </si>
  <si>
    <t>HZZ22127</t>
  </si>
  <si>
    <t>FRAGM6731ED2D</t>
  </si>
  <si>
    <t>CHIFFON LONG SLEEVE RUFFLE PLAYSUIT</t>
  </si>
  <si>
    <t>HZZ22145</t>
  </si>
  <si>
    <t>FRAGM6731F5C9</t>
  </si>
  <si>
    <t>BARDOT DROPPED WAIST PLAYSUIT</t>
  </si>
  <si>
    <t>HZZ26522</t>
  </si>
  <si>
    <t>FRAKC679B7C64</t>
  </si>
  <si>
    <t>MIXED ANIMAL PRINT CHIFFON KIMONO SLEEVE PLAYSUIT</t>
  </si>
  <si>
    <t>HZZ26521</t>
  </si>
  <si>
    <t>FRAKC679B79F7</t>
  </si>
  <si>
    <t>Halter neckChiffonKimonoSleeve MiniDress</t>
  </si>
  <si>
    <t>GZZ38009</t>
  </si>
  <si>
    <t>OWD25082277PLUS</t>
  </si>
  <si>
    <t>PLUS TEXTURED WOVEN OVERSIZED SHIRT</t>
  </si>
  <si>
    <t>GZZ41808</t>
  </si>
  <si>
    <t>OWDRM63497100</t>
  </si>
  <si>
    <t>PLUS CHEESECLOTH COLD SHOULDER MAXI BEACH DRESS</t>
  </si>
  <si>
    <t>GZZ46240</t>
  </si>
  <si>
    <t>OWDRM61C1EFF2RR</t>
  </si>
  <si>
    <t>PLUS LINEN LOOK MIDI SHIRT DRESS</t>
  </si>
  <si>
    <t>GZZ46244</t>
  </si>
  <si>
    <t>OWDRM61D477C1RR</t>
  </si>
  <si>
    <t>PLUS LONGLINE COTTON BEACH SHIRT</t>
  </si>
  <si>
    <t>GZZ46249</t>
  </si>
  <si>
    <t>OWD601D2E11RR</t>
  </si>
  <si>
    <t>PLUS CHEESECLOTH BEACH TROUSERS</t>
  </si>
  <si>
    <t>GZZ46250</t>
  </si>
  <si>
    <t>OWDRM60785E59RR</t>
  </si>
  <si>
    <t>PLUS TIERED POPLIN SMOCK TOP</t>
  </si>
  <si>
    <t>KATHRYN MOODY</t>
  </si>
  <si>
    <t>CNP6688</t>
  </si>
  <si>
    <t>PETITE-001</t>
  </si>
  <si>
    <t>CNP6525</t>
  </si>
  <si>
    <t>GEORGIE.SCRACE</t>
  </si>
  <si>
    <t>BUTTER CREAM</t>
  </si>
  <si>
    <t>PLT-JUMPSUIT-008</t>
  </si>
  <si>
    <t>PLT-PLAYSUIT-0010</t>
  </si>
  <si>
    <t>PLT-PLAYSUIT-005</t>
  </si>
  <si>
    <t>CNP7257</t>
  </si>
  <si>
    <t>White Linen Look Collar Detail Playsuit</t>
  </si>
  <si>
    <t>CNP7258</t>
  </si>
  <si>
    <t>Lemon Spaghetti Strap Textured Peplum Playsuit</t>
  </si>
  <si>
    <t>CNP7261</t>
  </si>
  <si>
    <t>Butter Cream Look Halter Neck Peplum Jumpsuit</t>
  </si>
  <si>
    <t>CNP7266</t>
  </si>
  <si>
    <t>PLT-PLAYSUIT-14</t>
  </si>
  <si>
    <t>BrownPinstripeLinen LookPlaysuit</t>
  </si>
  <si>
    <t>CNP7269</t>
  </si>
  <si>
    <t>BluePinstripeLinen LookPlaysuit</t>
  </si>
  <si>
    <t>BQQ23549</t>
  </si>
  <si>
    <t>LS6931BAD5</t>
  </si>
  <si>
    <t>Curve Floral Button Front Angel Sleeve Tie Back Midi Dress</t>
  </si>
  <si>
    <t>BQQ23550</t>
  </si>
  <si>
    <t>LS6931BBFF</t>
  </si>
  <si>
    <t>Curve Animal Button Front Angel Sleeve Tie Back Midi Dress</t>
  </si>
  <si>
    <t>BQQ23551</t>
  </si>
  <si>
    <t>LS6931BCC7</t>
  </si>
  <si>
    <t>Curve Floral Sleeveless Drawstring Waist Tiered Maxi Dress</t>
  </si>
  <si>
    <t>BQQ23552</t>
  </si>
  <si>
    <t>LS6931BE43</t>
  </si>
  <si>
    <t>Curve Floral Midi Shirt Dress</t>
  </si>
  <si>
    <t>BQQ23553</t>
  </si>
  <si>
    <t>LS6931BF13</t>
  </si>
  <si>
    <t>Curve Floral Poplin Twist Front Midi Dress</t>
  </si>
  <si>
    <t>BQQ23555</t>
  </si>
  <si>
    <t>LS6931C0BC</t>
  </si>
  <si>
    <t>BQQ23554</t>
  </si>
  <si>
    <t>LS6931C03B</t>
  </si>
  <si>
    <t>Curve Green Floral Button Front Angel Sleeve Tie Back Midi Dress</t>
  </si>
  <si>
    <t>BCC13207</t>
  </si>
  <si>
    <t>OM3904</t>
  </si>
  <si>
    <t>Coast Muse Satin Embroidered Column Maxi Dress</t>
  </si>
  <si>
    <t>MISSPAP</t>
  </si>
  <si>
    <t>SOPHIE CROSS</t>
  </si>
  <si>
    <t>BPP07327</t>
  </si>
  <si>
    <t>SC6931A7C0</t>
  </si>
  <si>
    <t>PremiumEmbellishedSweetheartMini Dresspink</t>
  </si>
  <si>
    <t>BQQ23556</t>
  </si>
  <si>
    <t>LS6931A18E</t>
  </si>
  <si>
    <t>Petite PoplinTwist FrontMidi Dress</t>
  </si>
  <si>
    <t>BWW09507</t>
  </si>
  <si>
    <t>EMBELLISHEDMIDI</t>
  </si>
  <si>
    <t>Embellished Long Sleeve Midi Dress</t>
  </si>
  <si>
    <t>BQQ23567</t>
  </si>
  <si>
    <t>SV6932F2E2</t>
  </si>
  <si>
    <t>(Q) Blue Paisley Lace Trim V Neck Printed Poplin Midi Dress</t>
  </si>
  <si>
    <t>BQQ23566</t>
  </si>
  <si>
    <t>SV6932F548</t>
  </si>
  <si>
    <t>(Q) Petite Lace Trim V Neck Printed Poplin Midi Dress</t>
  </si>
  <si>
    <t>Petite White Button Up Halterneck Flowy Linen Look Maxi Dress</t>
  </si>
  <si>
    <t>Petite Chocolate Polka Dot Button Up Halterneck Flowy Linen Look Mini Dress</t>
  </si>
  <si>
    <t>LULU MARSHALL</t>
  </si>
  <si>
    <t>CNP7544</t>
  </si>
  <si>
    <t>PLT-SS26-SEP-069</t>
  </si>
  <si>
    <t>Red Stripe Linen Look Bandeau Cut Out Bust Detail Maxi Dress</t>
  </si>
  <si>
    <t>CNP7557</t>
  </si>
  <si>
    <t>White Linen Look Bandeau Cut Out Bust Detail Maxi Dress</t>
  </si>
  <si>
    <t>GB6931B0E5</t>
  </si>
  <si>
    <t>CHH091</t>
  </si>
  <si>
    <t>CHH100</t>
  </si>
  <si>
    <t>CHH093</t>
  </si>
  <si>
    <t>BGG28533</t>
  </si>
  <si>
    <t>(Az) PaisleyBorderHandEmbellishedMini Skirt</t>
  </si>
  <si>
    <t>BCC13255</t>
  </si>
  <si>
    <t>OM3579</t>
  </si>
  <si>
    <t>SEASHELL EMBROIDERED COTTON MIDI DRESS</t>
  </si>
  <si>
    <t>BAA13161</t>
  </si>
  <si>
    <t>PETITE LINEAR EMBELLISHED ANGEL SLEEVE MAXI DRESS</t>
  </si>
  <si>
    <t>BAA13165</t>
  </si>
  <si>
    <t>PETITE PREMIUM TRAILING FLORAL EMBELLISHED BANDEAU MIDI DRESS</t>
  </si>
  <si>
    <t>BAA13166</t>
  </si>
  <si>
    <t>PETITE FLORAL EMBELLISHED MESH ANGEL SLEEVE MAXI DRESS</t>
  </si>
  <si>
    <t>BCC13263</t>
  </si>
  <si>
    <t>EMBELLISHED MIDI DRESS WITH GODET PLEATS</t>
  </si>
  <si>
    <t>BAA13130</t>
  </si>
  <si>
    <t>SV693FDDEE</t>
  </si>
  <si>
    <t>BUTTON FRONT CAMI NIGHTWEAR TROUSER SET</t>
  </si>
  <si>
    <t>BAA13131</t>
  </si>
  <si>
    <t>SV693FDF51</t>
  </si>
  <si>
    <t>RUFFLE FRILL NIGHTWEAR SHORT SET</t>
  </si>
  <si>
    <t>BAA13132</t>
  </si>
  <si>
    <t>SV693FE23C</t>
  </si>
  <si>
    <t>TOILE COTTON POPLIN SHORT SLEEVE PYJAMA SET</t>
  </si>
  <si>
    <t>CNP3371</t>
  </si>
  <si>
    <t>25SEPT-10</t>
  </si>
  <si>
    <t>BLACK LINEN LOOK BANDEAU COLUMN DRESS</t>
  </si>
  <si>
    <t>CNP3372</t>
  </si>
  <si>
    <t>CREAM LINEN LOOK BANDEAU COLUMN DRESS</t>
  </si>
  <si>
    <t>CNP3379</t>
  </si>
  <si>
    <t>25-SEPT-13</t>
  </si>
  <si>
    <t>CHOCOLATE LINEN LOOK BANDEAU SHIFT DRESS</t>
  </si>
  <si>
    <t>CNP3380</t>
  </si>
  <si>
    <t>CREAM LINEN LOOK BANDEAU SHIFT DRESS</t>
  </si>
  <si>
    <t>CNP3386</t>
  </si>
  <si>
    <t>25UK-AUG-06</t>
  </si>
  <si>
    <t>CREAM LINEN LOOK BARDOT TIERED MAXI DRESS</t>
  </si>
  <si>
    <t>CNP3387</t>
  </si>
  <si>
    <t>CHOCOLATE LINEN LOOK BARDOT TIERED MAXI DRESS</t>
  </si>
  <si>
    <t>BGG28549</t>
  </si>
  <si>
    <t>GB69442B86</t>
  </si>
  <si>
    <t>STARFISH WAVE BEADED SHEER MINI BEACH DRESS</t>
  </si>
  <si>
    <t>BGG28547</t>
  </si>
  <si>
    <t>GB6944296B</t>
  </si>
  <si>
    <t>STARFISH WAVE BEADED MAXI BEACH SKIRT</t>
  </si>
  <si>
    <t>BAA13169</t>
  </si>
  <si>
    <t>CHH090</t>
  </si>
  <si>
    <t>FAN FLORAL EMBELLISHED ANGEL SLEEVE MAXI DRESS</t>
  </si>
  <si>
    <t>BAA13168</t>
  </si>
  <si>
    <t>PETITE FAN FLORAL EMBELLISHED ANGEL SLEEVE MAXI DRESS</t>
  </si>
  <si>
    <t>GB6942AB56</t>
  </si>
  <si>
    <t>FLORAL CHIFFON PLACED SEQUIN MINI DRESS</t>
  </si>
  <si>
    <t>SS26WOV015EH</t>
  </si>
  <si>
    <t>TEXTURED SEQUIN MINI SKIRT</t>
  </si>
  <si>
    <t>SOPHIE HUSSAIN</t>
  </si>
  <si>
    <t>CNP8373</t>
  </si>
  <si>
    <t>SS2601TOP</t>
  </si>
  <si>
    <t>ShapeStoneTexturedWovenAsymmetricBandeauTop</t>
  </si>
  <si>
    <t>CNP8375</t>
  </si>
  <si>
    <t>SS2601TROUSER</t>
  </si>
  <si>
    <t>ShapeStoneTexturedWoven WideLeg Trouser</t>
  </si>
  <si>
    <t>CNP8377</t>
  </si>
  <si>
    <t>ShapeChocolateTexturedWoven WideLeg Trouser</t>
  </si>
  <si>
    <t>CNP8381</t>
  </si>
  <si>
    <t>ShapeChocolateTexturedWovenAsymmetricBandeauTop</t>
  </si>
  <si>
    <t>Incoterms</t>
  </si>
  <si>
    <t>FOB</t>
  </si>
  <si>
    <t>Delivery Date</t>
  </si>
  <si>
    <t>Port of loading</t>
  </si>
  <si>
    <t>Sample approved status</t>
  </si>
  <si>
    <t>NO</t>
  </si>
  <si>
    <t xml:space="preserve">Sustainable </t>
  </si>
  <si>
    <t>INMUD</t>
  </si>
  <si>
    <t>INDEL</t>
  </si>
  <si>
    <t>NO Info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</si>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</sst>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0.00"/>
    <numFmt numFmtId="165" formatCode="&quot;£&quot;\ 0.00"/>
    <numFmt numFmtId="166" formatCode="d\-mmm"/>
    <numFmt numFmtId="167" formatCode="d\-mmm\-yy"/>
  </numFmts>
  <fonts count="14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charset val="12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/>
      </top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10" fillId="0" borderId="0"/>
  </cellStyleXfs>
  <cellXfs count="38">
    <xf numFmtId="0" fontId="0" fillId="0" borderId="0" xfId="0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0" xfId="0" applyFont="1"/>
    <xf numFmtId="1" fontId="3" fillId="0" borderId="0" xfId="0" applyNumberFormat="1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0" xfId="0" applyNumberFormat="1" applyFont="1"/>
    <xf numFmtId="0" fontId="6" fillId="0" borderId="0" xfId="0" applyFont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0" fillId="5" borderId="4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15" fontId="1" fillId="0" borderId="1" xfId="3" applyNumberFormat="1" applyFont="1" applyBorder="1" applyAlignment="1">
      <alignment horizontal="center" vertical="center" wrapText="1"/>
    </xf>
    <xf numFmtId="16" fontId="1" fillId="0" borderId="1" xfId="2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5" fontId="1" fillId="9" borderId="1" xfId="3" applyNumberFormat="1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2" xr:uid="{ED01E7B4-0ACF-465A-AFA0-2F4B062B1243}"/>
    <cellStyle name="Normal 3" xfId="1" xr:uid="{092705AC-E963-404F-A0F7-FA737FFEAA86}"/>
    <cellStyle name="Normal 5" xfId="3" xr:uid="{774079B3-4EE1-49A0-AF60-22FFA5C71C6A}"/>
  </cellStyles>
  <dxfs count="36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/>
        <color theme="0"/>
      </font>
      <fill>
        <patternFill>
          <bgColor rgb="FF00B0F0"/>
        </patternFill>
      </fill>
    </dxf>
    <dxf>
      <font>
        <b/>
        <i/>
        <u val="none"/>
        <color theme="0"/>
      </font>
      <fill>
        <patternFill>
          <bgColor rgb="FFFF33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d\-mmm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£&quot;\ 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0.00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£&quot;\ 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0.00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8" formatCode="yyyy/mm/dd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theme="4"/>
        </top>
        <bottom/>
      </border>
      <protection locked="1" hidden="0"/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tin\OneDrive\Nitin's%20Desktop\Main.xlsm" TargetMode="External"/><Relationship Id="rId1" Type="http://schemas.openxmlformats.org/officeDocument/2006/relationships/externalLinkPath" Target="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Capacity"/>
      <sheetName val="Business Dashboard"/>
      <sheetName val="FY_22-23"/>
      <sheetName val="FY_23-24"/>
      <sheetName val="FY_24-25"/>
      <sheetName val="FY_25-26"/>
      <sheetName val="OPO data extracted"/>
      <sheetName val="OPO data extractet validato"/>
      <sheetName val="Mir Sea to Air Incorrect Data"/>
      <sheetName val="crest data"/>
      <sheetName val="Example for GPT"/>
      <sheetName val="Monthly_Billing_Data"/>
      <sheetName val="Variation New"/>
      <sheetName val="Daily Report New"/>
      <sheetName val="Inhand_Dynamic"/>
      <sheetName val="Inhand_Dynamic (2)"/>
      <sheetName val="Monthly Capacity Load"/>
      <sheetName val="Main(All)"/>
      <sheetName val="muskan data"/>
      <sheetName val="Mir Data till 11-November Ex-Fa"/>
      <sheetName val="Sheet12"/>
      <sheetName val="Crest till Oct2025"/>
      <sheetName val="Main(All) (2)"/>
      <sheetName val="FY24-25only"/>
      <sheetName val="LIST"/>
      <sheetName val="Main(FY_24_25)"/>
      <sheetName val="4 Brands"/>
      <sheetName val="Cancel Summary"/>
      <sheetName val="Pivot_Cancel_Summary"/>
      <sheetName val="Sheet5"/>
      <sheetName val="Projected(2025)"/>
      <sheetName val="In Hand Data(2025)"/>
      <sheetName val="Actual Shipped(2025)"/>
      <sheetName val="Financial Billed Data(2025)"/>
      <sheetName val="Color Defination"/>
      <sheetName val="_Blacklabel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F2" t="str">
            <v>Ex Factory Wise OPO</v>
          </cell>
        </row>
        <row r="3">
          <cell r="BG3" t="str">
            <v>OPOs</v>
          </cell>
          <cell r="BH3" t="str">
            <v>Qty</v>
          </cell>
        </row>
        <row r="4">
          <cell r="BF4" t="str">
            <v>Aug-2024</v>
          </cell>
          <cell r="BG4" t="str">
            <v>-</v>
          </cell>
          <cell r="BH4" t="str">
            <v>-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ITF" id="{C4138AB6-ACD0-48D2-A46B-98C83B3E9413}">
    <nsvFilter filterId="{46EC0CAA-D0B3-4753-BDE6-AC8A724602A8}" ref="A2:AA196" tableId="1">
      <columnFilter colId="2" id="{37CF2684-2486-4C31-8B4E-F163298E244E}">
        <filter colId="2">
          <x:filters>
            <x:filter val="ITF"/>
          </x:filters>
        </filter>
      </columnFilter>
      <columnFilter colId="3" id="{6F85FD4F-BE9C-4513-BE66-5EFEC6F7ED26}">
        <filter colId="3">
          <x:filters>
            <x:filter val="OASIS"/>
          </x:filters>
        </filter>
      </columnFilter>
    </nsvFilter>
  </namedSheetView>
  <namedSheetView name="Sanctum BHM" id="{1353DD1D-329B-4F4C-AC22-214F5072E31A}">
    <nsvFilter filterId="{46EC0CAA-D0B3-4753-BDE6-AC8A724602A8}" ref="A2:AA196" tableId="1">
      <columnFilter colId="2" id="{37CF2684-2486-4C31-8B4E-F163298E244E}">
        <filter colId="2">
          <x:filters>
            <x:filter val="SANCTUM"/>
          </x:filters>
        </filter>
      </columnFilter>
      <columnFilter colId="3" id="{6F85FD4F-BE9C-4513-BE66-5EFEC6F7ED26}">
        <filter colId="3">
          <x:filters>
            <x:filter val="BOOHOO MAN"/>
          </x:filters>
        </filter>
      </columnFilter>
    </nsvFilter>
  </namedSheetView>
  <namedSheetView name="View1" id="{26F0AA0D-A67B-451F-BFC1-6601A1D4AADD}">
    <nsvFilter filterId="{46EC0CAA-D0B3-4753-BDE6-AC8A724602A8}" ref="A2:AA196" tableId="1">
      <columnFilter colId="2" id="{37CF2684-2486-4C31-8B4E-F163298E244E}">
        <filter colId="2">
          <x:filters>
            <x:filter val="BANSWARA"/>
          </x:filters>
        </filter>
      </columnFilter>
      <columnFilter colId="3" id="{6F85FD4F-BE9C-4513-BE66-5EFEC6F7ED26}">
        <filter colId="3">
          <x:filters>
            <x:filter val="BOOHOO MAN"/>
          </x:filters>
        </filter>
      </columnFilter>
      <columnFilter colId="10" id="{65DC3210-9965-49CF-BB6D-C8AB4ABBC349}">
        <filter colId="10">
          <x:filters>
            <x:filter val="0003281131"/>
            <x:filter val="0003281343"/>
            <x:filter val="0003281344"/>
            <x:filter val="0003281345"/>
            <x:filter val="0003281346"/>
            <x:filter val="0003281347"/>
            <x:filter val="0003281348"/>
            <x:filter val="0003281349"/>
            <x:filter val="0003281350"/>
            <x:filter val="0003281351"/>
            <x:filter val="0003281352"/>
            <x:filter val="0003281353"/>
            <x:filter val="0003281354"/>
            <x:filter val="0003281355"/>
            <x:filter val="0003281356"/>
            <x:filter val="0003281357"/>
            <x:filter val="0003281358"/>
            <x:filter val="0003281359"/>
            <x:filter val="0003281360"/>
            <x:filter val="0003281361"/>
            <x:filter val="0003281362"/>
            <x:filter val="0003291059"/>
            <x:filter val="0003291061"/>
            <x:filter val="0003291062"/>
            <x:filter val="0003291064"/>
            <x:filter val="0003291073"/>
            <x:filter val="0003291084"/>
            <x:filter val="0003291090"/>
            <x:filter val="0003291103"/>
            <x:filter val="0003291104"/>
            <x:filter val="0003291105"/>
            <x:filter val="0003291106"/>
            <x:filter val="0003291111"/>
            <x:filter val="0003291113"/>
            <x:filter val="0003291114"/>
            <x:filter val="0003291115"/>
            <x:filter val="0003291116"/>
            <x:filter val="0003291118"/>
            <x:filter val="0003291119"/>
            <x:filter val="0003291120"/>
            <x:filter val="0003291121"/>
            <x:filter val="0003291122"/>
            <x:filter val="0003291123"/>
            <x:filter val="0003291124"/>
            <x:filter val="0003291125"/>
            <x:filter val="0003291126"/>
            <x:filter val="0003291127"/>
            <x:filter val="0003291128"/>
            <x:filter val="0003291129"/>
            <x:filter val="0003291130"/>
            <x:filter val="0003291131"/>
            <x:filter val="0003291132"/>
            <x:filter val="0003291133"/>
            <x:filter val="0003291134"/>
            <x:filter val="0003291135"/>
            <x:filter val="0003291136"/>
            <x:filter val="0003291137"/>
            <x:filter val="0003291138"/>
            <x:filter val="0003291139"/>
            <x:filter val="0003291140"/>
            <x:filter val="0003291141"/>
            <x:filter val="0003291142"/>
            <x:filter val="0003291143"/>
            <x:filter val="0003291144"/>
            <x:filter val="0003291145"/>
            <x:filter val="0003291146"/>
            <x:filter val="0003291147"/>
            <x:filter val="0003291148"/>
            <x:filter val="0003291149"/>
            <x:filter val="0003291150"/>
            <x:filter val="0003297408"/>
            <x:filter val="0003297409"/>
            <x:filter val="0003297410"/>
            <x:filter val="0003297411"/>
            <x:filter val="0003297412"/>
            <x:filter val="0003297413"/>
            <x:filter val="0003297414"/>
            <x:filter val="0003297427"/>
            <x:filter val="0003297428"/>
            <x:filter val="0003297429"/>
            <x:filter val="0003297430"/>
            <x:filter val="0003297431"/>
            <x:filter val="0003297432"/>
            <x:filter val="0003297433"/>
            <x:filter val="0003297440"/>
            <x:filter val="0003297442"/>
            <x:filter val="0003297444"/>
            <x:filter val="0003297445"/>
            <x:filter val="0003297446"/>
            <x:filter val="0003297447"/>
            <x:filter val="0003297448"/>
            <x:filter val="0003297449"/>
            <x:filter val="0003297450"/>
            <x:filter val="0003297451"/>
            <x:filter val="0003297452"/>
            <x:filter val="0003297453"/>
            <x:filter val="0003297454"/>
            <x:filter val="0003297455"/>
            <x:filter val="0003297456"/>
            <x:filter val="0003297457"/>
            <x:filter val="0003297458"/>
            <x:filter val="0003297465"/>
            <x:filter val="0003297467"/>
            <x:filter val="0003302375"/>
            <x:filter val="0003302377"/>
            <x:filter val="0003305864"/>
            <x:filter val="0003305865"/>
            <x:filter val="0003305866"/>
            <x:filter val="0003305867"/>
            <x:filter val="0003312677"/>
            <x:filter val="0003312678"/>
            <x:filter val="0003312679"/>
            <x:filter val="0003312680"/>
            <x:filter val="0003312681"/>
            <x:filter val="0003312682"/>
            <x:filter val="0003317591"/>
            <x:filter val="0003322764"/>
            <x:filter val="0003322765"/>
            <x:filter val="0003322766"/>
            <x:filter val="0003322767"/>
            <x:filter val="0003322768"/>
            <x:filter val="0003322769"/>
            <x:filter val="0003322770"/>
            <x:filter val="0003322771"/>
            <x:filter val="0003322773"/>
            <x:filter val="0003322774"/>
            <x:filter val="0003322775"/>
            <x:filter val="0003322776"/>
            <x:filter val="0003322777"/>
            <x:filter val="0003322779"/>
            <x:filter val="0003322780"/>
            <x:filter val="0003322781"/>
            <x:filter val="0003322782"/>
            <x:filter val="0003322783"/>
            <x:filter val="0003322785"/>
            <x:filter val="0003322786"/>
            <x:filter val="0003322787"/>
            <x:filter val="0003325758"/>
            <x:filter val="0003325759"/>
            <x:filter val="0003325760"/>
            <x:filter val="0003325761"/>
            <x:filter val="0003325762"/>
            <x:filter val="0003325763"/>
            <x:filter val="0003325764"/>
            <x:filter val="0003325765"/>
            <x:filter val="0003325766"/>
            <x:filter val="0003325767"/>
            <x:filter val="0003325768"/>
            <x:filter val="0003325769"/>
            <x:filter val="0003325770"/>
            <x:filter val="0003325771"/>
            <x:filter val="0003325772"/>
            <x:filter val="0003325780"/>
            <x:filter val="0003325781"/>
            <x:filter val="0003325782"/>
            <x:filter val="0003325783"/>
            <x:filter val="0003332412"/>
            <x:filter val="0003332413"/>
            <x:filter val="0003332414"/>
            <x:filter val="0003332415"/>
            <x:filter val="0003332416"/>
            <x:filter val="0003332417"/>
            <x:filter val="0003332418"/>
            <x:filter val="0003339063"/>
            <x:filter val="0003343028"/>
            <x:filter val="0003352443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5FA18-81AC-46B2-A638-C074D484EA29}" name="Business_25_26" displayName="Business_25_26" ref="A2:AA196" totalsRowShown="0" headerRowDxfId="35" dataDxfId="34" tableBorderDxfId="33">
  <autoFilter ref="A2:AA196" xr:uid="{46EC0CAA-D0B3-4753-BDE6-AC8A724602A8}"/>
  <tableColumns count="27">
    <tableColumn id="2" xr3:uid="{60FAB35D-87A6-48F7-8D62-604443A0E881}" name="BUSINESS UNITS" dataDxfId="32">
      <calculatedColumnFormula>IF('FY_25-26'!$D3="","",IF(OR('FY_25-26'!$D3="BOOHOO LADIES",'FY_25-26'!$D3="PLT",'FY_25-26'!$D3="KM"),"BUSINESS UNIT 1 - KIRAN","BUSINESS UNIT 2 - SHIFALI"))</calculatedColumnFormula>
    </tableColumn>
    <tableColumn id="3" xr3:uid="{928CB439-02BD-48CB-8252-80ACA3EB6892}" name="SR. NO." dataDxfId="31">
      <calculatedColumnFormula>IF('FY_25-26'!$C3&lt;&gt;"",ROW()-ROW($B$2),"")</calculatedColumnFormula>
    </tableColumn>
    <tableColumn id="4" xr3:uid="{37CF2684-2486-4C31-8B4E-F163298E244E}" name="SUPPLIER" dataDxfId="30"/>
    <tableColumn id="5" xr3:uid="{6F85FD4F-BE9C-4513-BE66-5EFEC6F7ED26}" name="BRAND" dataDxfId="29"/>
    <tableColumn id="6" xr3:uid="{22934DD3-D72D-48DC-8364-6C575C81FF56}" name="BUYER NAME" dataDxfId="28"/>
    <tableColumn id="7" xr3:uid="{6B881D95-F9F1-430F-8697-166DF2FA0BB7}" name="DEPARTMENT" dataDxfId="27"/>
    <tableColumn id="8" xr3:uid="{0BBA4A6E-D9A1-49DB-92AD-9137ED4F4856}" name="CATEGORY" dataDxfId="26"/>
    <tableColumn id="9" xr3:uid="{494788DD-187C-493A-980F-273AAF235261}" name="STYLE NO" dataDxfId="25"/>
    <tableColumn id="10" xr3:uid="{33321077-4ED4-4FEF-8EB6-4E7EE62C383E}" name="NEW/REBUY" dataDxfId="24"/>
    <tableColumn id="11" xr3:uid="{90BE711C-F1E4-4E7D-80F0-A367E9171F94}" name="COLOR" dataDxfId="23"/>
    <tableColumn id="12" xr3:uid="{65DC3210-9965-49CF-BB6D-C8AB4ABBC349}" name="PO NO" dataDxfId="22"/>
    <tableColumn id="13" xr3:uid="{4D3594B0-770F-4BF8-8344-24F35D3A3D42}" name="COUNTRY" dataDxfId="21"/>
    <tableColumn id="14" xr3:uid="{87AB6029-ED63-49F3-BBD6-41A20ABB5AC9}" name="Supplier Ref. No." dataDxfId="20"/>
    <tableColumn id="15" xr3:uid="{D0DCBDF4-116A-4539-9494-2C24E5367514}" name="Product Description" dataDxfId="19"/>
    <tableColumn id="19" xr3:uid="{3BE22A9A-DDB6-43C8-BA12-077A1DFFAE4D}" name="UK PO RECD DATE" dataDxfId="18"/>
    <tableColumn id="20" xr3:uid="{0E91806F-1B82-45BF-AE0C-3702A1E05309}" name="TOTAL ORDER QTY" dataDxfId="17"/>
    <tableColumn id="27" xr3:uid="{8F32A7C7-FC21-414B-8D7E-F08F3020C133}" name="USD PRICE PER PC" dataDxfId="16"/>
    <tableColumn id="28" xr3:uid="{6972A8DE-ABD3-402C-AAE9-AC0F7BBC21D4}" name="GBP PRICE PER PC" dataDxfId="15"/>
    <tableColumn id="29" xr3:uid="{8B967B33-DBCB-4511-B89A-601C65B8EF51}" name="USD _x000a_TOTAL PO VALUE" dataDxfId="14">
      <calculatedColumnFormula>IF($Q3="","",IF($Q3="-","-",$P3*$Q3))</calculatedColumnFormula>
    </tableColumn>
    <tableColumn id="30" xr3:uid="{C606FB62-36EC-444E-ACCA-822037505EA9}" name="GBP _x000a_TOTAL PO VALUE" dataDxfId="13">
      <calculatedColumnFormula>IF($R3="","",IF($R3="-","-",$P3*$R3))</calculatedColumnFormula>
    </tableColumn>
    <tableColumn id="41" xr3:uid="{486B7C34-C495-47E1-9055-F16EC703E3D5}" name="CONFIRMED EX-FACTORY" dataDxfId="12" dataCellStyle="Normal"/>
    <tableColumn id="42" xr3:uid="{17787614-FA9D-4C4A-9032-D7F182B32CBA}" name="REVISED EX- FACTORY" dataDxfId="11" dataCellStyle="Normal"/>
    <tableColumn id="16" xr3:uid="{E0C87F02-0ABD-4974-971D-A88B069F080D}" name="Delivery Date" dataDxfId="6"/>
    <tableColumn id="58" xr3:uid="{262169B4-7340-418F-81F6-479043A3941B}" name="MODE" dataDxfId="7"/>
    <tableColumn id="18" xr3:uid="{8CCDE999-87F1-49A0-AEAC-BF6C978B58E7}" name="Port of loading" dataDxfId="10"/>
    <tableColumn id="21" xr3:uid="{E77AB02C-9B0D-421C-A74C-96BD35793AA4}" name="Sample approved status" dataDxfId="9"/>
    <tableColumn id="22" xr3:uid="{FF1A5ED0-BF8C-41AC-A4DD-F3D87C944E7B}" name="Sustainable 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F1DE-BFA0-4BBB-BD87-D3C20E4BAE7B}">
  <sheetPr codeName="Sheet23">
    <pageSetUpPr fitToPage="1"/>
  </sheetPr>
  <dimension ref="A1:AB208"/>
  <sheetViews>
    <sheetView tabSelected="1" zoomScaleNormal="100" workbookViewId="0">
      <pane xSplit="2" ySplit="2" topLeftCell="C3" activePane="bottomRight" state="frozen"/>
      <selection pane="topRight" activeCell="T2" sqref="T2"/>
      <selection pane="bottomLeft" activeCell="T2" sqref="T2"/>
      <selection pane="bottomRight" activeCell="H7" sqref="H7"/>
    </sheetView>
  </sheetViews>
  <sheetFormatPr defaultColWidth="5.625" defaultRowHeight="15.75" customHeight="1"/>
  <cols>
    <col min="1" max="1" width="17.25" style="3" hidden="1" customWidth="1"/>
    <col min="2" max="2" width="9.25" style="3" customWidth="1"/>
    <col min="3" max="3" width="27" style="3" customWidth="1"/>
    <col min="4" max="4" width="17" style="3" customWidth="1"/>
    <col min="5" max="5" width="18" style="4" customWidth="1"/>
    <col min="6" max="6" width="14.25" style="3" customWidth="1"/>
    <col min="7" max="7" width="12.25" style="3" customWidth="1"/>
    <col min="8" max="8" width="12.25" style="3" bestFit="1" customWidth="1"/>
    <col min="9" max="9" width="13.5" style="3" customWidth="1"/>
    <col min="10" max="10" width="13.875" style="3" customWidth="1"/>
    <col min="11" max="11" width="12.125" style="3" customWidth="1"/>
    <col min="12" max="12" width="8.125" style="3" customWidth="1"/>
    <col min="13" max="13" width="25.875" style="13" customWidth="1"/>
    <col min="14" max="14" width="44" style="14" customWidth="1"/>
    <col min="15" max="15" width="16.25" style="3" customWidth="1"/>
    <col min="16" max="16" width="9.875" style="3" customWidth="1"/>
    <col min="17" max="17" width="12" style="3" customWidth="1"/>
    <col min="18" max="18" width="10.25" style="3" customWidth="1"/>
    <col min="19" max="19" width="12.75" style="3" customWidth="1"/>
    <col min="20" max="20" width="16.5" style="3" customWidth="1"/>
    <col min="21" max="21" width="13.375" style="3" customWidth="1"/>
    <col min="22" max="22" width="14.25" style="3" customWidth="1"/>
    <col min="23" max="23" width="10.75" style="3" customWidth="1"/>
    <col min="24" max="28" width="9.75" style="11" customWidth="1"/>
    <col min="29" max="29" width="12.875" style="11" customWidth="1"/>
    <col min="30" max="16384" width="5.625" style="11"/>
  </cols>
  <sheetData>
    <row r="1" spans="1:28" s="6" customFormat="1" ht="22.15" customHeight="1">
      <c r="A1" s="22"/>
      <c r="B1" s="23" t="s">
        <v>637</v>
      </c>
      <c r="C1" s="1"/>
      <c r="D1" s="1"/>
      <c r="E1" s="25"/>
      <c r="F1" s="1"/>
      <c r="G1" s="1"/>
      <c r="H1" s="1"/>
      <c r="I1" s="1"/>
      <c r="J1" s="1"/>
      <c r="K1" s="1"/>
      <c r="L1" s="1"/>
      <c r="M1" s="2"/>
      <c r="N1" s="25"/>
      <c r="O1"/>
      <c r="P1"/>
      <c r="Q1"/>
      <c r="R1"/>
      <c r="S1" s="24" t="s">
        <v>637</v>
      </c>
      <c r="T1" s="24" t="s">
        <v>637</v>
      </c>
      <c r="U1" s="7"/>
      <c r="V1" s="7"/>
      <c r="X1" s="7"/>
    </row>
    <row r="2" spans="1:28" s="9" customFormat="1" ht="36">
      <c r="A2" s="8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5" t="s">
        <v>7</v>
      </c>
      <c r="I2" s="5" t="s">
        <v>8</v>
      </c>
      <c r="J2" s="5" t="s">
        <v>9</v>
      </c>
      <c r="K2" s="16" t="s">
        <v>10</v>
      </c>
      <c r="L2" s="17" t="s">
        <v>11</v>
      </c>
      <c r="M2" s="18" t="s">
        <v>12</v>
      </c>
      <c r="N2" s="5" t="s">
        <v>13</v>
      </c>
      <c r="O2" s="5" t="s">
        <v>14</v>
      </c>
      <c r="P2" s="17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19" t="s">
        <v>20</v>
      </c>
      <c r="V2" s="20" t="s">
        <v>21</v>
      </c>
      <c r="W2" s="21" t="s">
        <v>629</v>
      </c>
      <c r="X2" s="5" t="s">
        <v>22</v>
      </c>
      <c r="Y2" s="21" t="s">
        <v>630</v>
      </c>
      <c r="Z2" s="21" t="s">
        <v>631</v>
      </c>
      <c r="AA2" s="21" t="s">
        <v>633</v>
      </c>
      <c r="AB2" s="21" t="s">
        <v>627</v>
      </c>
    </row>
    <row r="3" spans="1:28" ht="24">
      <c r="A3" s="12" t="str">
        <f>IF('FY_25-26'!$D3="","",IF(OR('FY_25-26'!$D3="BOOHOO LADIES",'FY_25-26'!$D3="PLT",'FY_25-26'!$D3="KM"),"BUSINESS UNIT 1 - KIRAN","BUSINESS UNIT 2 - SHIFALI"))</f>
        <v>BUSINESS UNIT 2 - SHIFALI</v>
      </c>
      <c r="B3" s="26">
        <f>IF('FY_25-26'!$C3&lt;&gt;"",ROW()-ROW($B$2),"")</f>
        <v>1</v>
      </c>
      <c r="C3" s="26" t="s">
        <v>45</v>
      </c>
      <c r="D3" s="26" t="s">
        <v>46</v>
      </c>
      <c r="E3" s="27" t="s">
        <v>47</v>
      </c>
      <c r="F3" s="26" t="s">
        <v>26</v>
      </c>
      <c r="G3" s="26" t="s">
        <v>27</v>
      </c>
      <c r="H3" s="26" t="s">
        <v>48</v>
      </c>
      <c r="I3" s="26" t="s">
        <v>28</v>
      </c>
      <c r="J3" s="26" t="s">
        <v>29</v>
      </c>
      <c r="K3" s="26">
        <v>3380602</v>
      </c>
      <c r="L3" s="26" t="s">
        <v>30</v>
      </c>
      <c r="M3" s="26" t="s">
        <v>49</v>
      </c>
      <c r="N3" s="27" t="s">
        <v>50</v>
      </c>
      <c r="O3" s="28">
        <v>45902</v>
      </c>
      <c r="P3" s="26">
        <v>200</v>
      </c>
      <c r="Q3" s="29">
        <v>16.8</v>
      </c>
      <c r="R3" s="30" t="s">
        <v>31</v>
      </c>
      <c r="S3" s="29">
        <f t="shared" ref="S3:S10" si="0">IF($Q3="","",IF($Q3="-","-",$P3*$Q3))</f>
        <v>3360</v>
      </c>
      <c r="T3" s="30" t="str">
        <f t="shared" ref="T3:T10" si="1">IF($R3="","",IF($R3="-","-",$P3*$R3))</f>
        <v>-</v>
      </c>
      <c r="U3" s="31">
        <v>46090</v>
      </c>
      <c r="V3" s="31" t="s">
        <v>31</v>
      </c>
      <c r="W3" s="33"/>
      <c r="X3" s="32" t="s">
        <v>32</v>
      </c>
      <c r="Y3" s="33" t="s">
        <v>634</v>
      </c>
      <c r="Z3" s="33" t="s">
        <v>632</v>
      </c>
      <c r="AA3" s="33" t="s">
        <v>636</v>
      </c>
      <c r="AB3" s="33" t="s">
        <v>628</v>
      </c>
    </row>
    <row r="4" spans="1:28" ht="24">
      <c r="A4" s="12" t="str">
        <f>IF('FY_25-26'!$D4="","",IF(OR('FY_25-26'!$D4="BOOHOO LADIES",'FY_25-26'!$D4="PLT",'FY_25-26'!$D4="KM"),"BUSINESS UNIT 1 - KIRAN","BUSINESS UNIT 2 - SHIFALI"))</f>
        <v>BUSINESS UNIT 2 - SHIFALI</v>
      </c>
      <c r="B4" s="26">
        <f>IF('FY_25-26'!$C4&lt;&gt;"",ROW()-ROW($B$2),"")</f>
        <v>2</v>
      </c>
      <c r="C4" s="26" t="s">
        <v>45</v>
      </c>
      <c r="D4" s="26" t="s">
        <v>46</v>
      </c>
      <c r="E4" s="27" t="s">
        <v>47</v>
      </c>
      <c r="F4" s="26" t="s">
        <v>26</v>
      </c>
      <c r="G4" s="26" t="s">
        <v>27</v>
      </c>
      <c r="H4" s="26" t="s">
        <v>51</v>
      </c>
      <c r="I4" s="26" t="s">
        <v>28</v>
      </c>
      <c r="J4" s="26" t="s">
        <v>29</v>
      </c>
      <c r="K4" s="26">
        <v>3380603</v>
      </c>
      <c r="L4" s="26" t="s">
        <v>30</v>
      </c>
      <c r="M4" s="26" t="s">
        <v>52</v>
      </c>
      <c r="N4" s="27" t="s">
        <v>53</v>
      </c>
      <c r="O4" s="28">
        <v>45902</v>
      </c>
      <c r="P4" s="26">
        <v>351</v>
      </c>
      <c r="Q4" s="29">
        <v>17</v>
      </c>
      <c r="R4" s="30" t="s">
        <v>31</v>
      </c>
      <c r="S4" s="29">
        <f t="shared" si="0"/>
        <v>5967</v>
      </c>
      <c r="T4" s="30" t="str">
        <f t="shared" si="1"/>
        <v>-</v>
      </c>
      <c r="U4" s="31">
        <v>46090</v>
      </c>
      <c r="V4" s="31" t="s">
        <v>31</v>
      </c>
      <c r="W4" s="33"/>
      <c r="X4" s="32" t="s">
        <v>32</v>
      </c>
      <c r="Y4" s="33" t="s">
        <v>634</v>
      </c>
      <c r="Z4" s="33" t="s">
        <v>632</v>
      </c>
      <c r="AA4" s="33" t="s">
        <v>636</v>
      </c>
      <c r="AB4" s="33" t="s">
        <v>628</v>
      </c>
    </row>
    <row r="5" spans="1:28" ht="24">
      <c r="A5" s="12" t="str">
        <f>IF('FY_25-26'!$D5="","",IF(OR('FY_25-26'!$D5="BOOHOO LADIES",'FY_25-26'!$D5="PLT",'FY_25-26'!$D5="KM"),"BUSINESS UNIT 1 - KIRAN","BUSINESS UNIT 2 - SHIFALI"))</f>
        <v>BUSINESS UNIT 2 - SHIFALI</v>
      </c>
      <c r="B5" s="26">
        <f>IF('FY_25-26'!$C5&lt;&gt;"",ROW()-ROW($B$2),"")</f>
        <v>3</v>
      </c>
      <c r="C5" s="26" t="s">
        <v>45</v>
      </c>
      <c r="D5" s="26" t="s">
        <v>46</v>
      </c>
      <c r="E5" s="27" t="s">
        <v>47</v>
      </c>
      <c r="F5" s="26" t="s">
        <v>26</v>
      </c>
      <c r="G5" s="26" t="s">
        <v>27</v>
      </c>
      <c r="H5" s="26" t="s">
        <v>54</v>
      </c>
      <c r="I5" s="26" t="s">
        <v>28</v>
      </c>
      <c r="J5" s="26" t="s">
        <v>29</v>
      </c>
      <c r="K5" s="26">
        <v>3380601</v>
      </c>
      <c r="L5" s="26" t="s">
        <v>30</v>
      </c>
      <c r="M5" s="26" t="s">
        <v>55</v>
      </c>
      <c r="N5" s="27" t="s">
        <v>56</v>
      </c>
      <c r="O5" s="28">
        <v>45902</v>
      </c>
      <c r="P5" s="26">
        <v>453</v>
      </c>
      <c r="Q5" s="29">
        <v>8.25</v>
      </c>
      <c r="R5" s="30" t="s">
        <v>31</v>
      </c>
      <c r="S5" s="29">
        <f t="shared" si="0"/>
        <v>3737.25</v>
      </c>
      <c r="T5" s="30" t="str">
        <f t="shared" si="1"/>
        <v>-</v>
      </c>
      <c r="U5" s="31">
        <v>46090</v>
      </c>
      <c r="V5" s="31" t="s">
        <v>31</v>
      </c>
      <c r="W5" s="33"/>
      <c r="X5" s="32" t="s">
        <v>32</v>
      </c>
      <c r="Y5" s="33" t="s">
        <v>634</v>
      </c>
      <c r="Z5" s="33" t="s">
        <v>632</v>
      </c>
      <c r="AA5" s="33" t="s">
        <v>636</v>
      </c>
      <c r="AB5" s="33" t="s">
        <v>628</v>
      </c>
    </row>
    <row r="6" spans="1:28" ht="24">
      <c r="A6" s="12" t="str">
        <f>IF('FY_25-26'!$D6="","",IF(OR('FY_25-26'!$D6="BOOHOO LADIES",'FY_25-26'!$D6="PLT",'FY_25-26'!$D6="KM"),"BUSINESS UNIT 1 - KIRAN","BUSINESS UNIT 2 - SHIFALI"))</f>
        <v>BUSINESS UNIT 2 - SHIFALI</v>
      </c>
      <c r="B6" s="26">
        <f>IF('FY_25-26'!$C6&lt;&gt;"",ROW()-ROW($B$2),"")</f>
        <v>4</v>
      </c>
      <c r="C6" s="26" t="s">
        <v>45</v>
      </c>
      <c r="D6" s="26" t="s">
        <v>46</v>
      </c>
      <c r="E6" s="27" t="s">
        <v>47</v>
      </c>
      <c r="F6" s="26" t="s">
        <v>26</v>
      </c>
      <c r="G6" s="26" t="s">
        <v>27</v>
      </c>
      <c r="H6" s="26" t="s">
        <v>57</v>
      </c>
      <c r="I6" s="26" t="s">
        <v>28</v>
      </c>
      <c r="J6" s="26" t="s">
        <v>29</v>
      </c>
      <c r="K6" s="26">
        <v>3380596</v>
      </c>
      <c r="L6" s="26" t="s">
        <v>30</v>
      </c>
      <c r="M6" s="26" t="s">
        <v>58</v>
      </c>
      <c r="N6" s="27" t="s">
        <v>59</v>
      </c>
      <c r="O6" s="28">
        <v>45902</v>
      </c>
      <c r="P6" s="26">
        <v>198</v>
      </c>
      <c r="Q6" s="29">
        <v>9.5</v>
      </c>
      <c r="R6" s="30" t="s">
        <v>31</v>
      </c>
      <c r="S6" s="29">
        <f t="shared" si="0"/>
        <v>1881</v>
      </c>
      <c r="T6" s="30" t="str">
        <f t="shared" si="1"/>
        <v>-</v>
      </c>
      <c r="U6" s="31">
        <v>46153</v>
      </c>
      <c r="V6" s="31" t="s">
        <v>31</v>
      </c>
      <c r="W6" s="33"/>
      <c r="X6" s="32" t="s">
        <v>32</v>
      </c>
      <c r="Y6" s="33" t="s">
        <v>634</v>
      </c>
      <c r="Z6" s="33" t="s">
        <v>632</v>
      </c>
      <c r="AA6" s="33" t="s">
        <v>636</v>
      </c>
      <c r="AB6" s="33" t="s">
        <v>628</v>
      </c>
    </row>
    <row r="7" spans="1:28" ht="30">
      <c r="A7" s="12" t="str">
        <f>IF('FY_25-26'!$D7="","",IF(OR('FY_25-26'!$D7="BOOHOO LADIES",'FY_25-26'!$D7="PLT",'FY_25-26'!$D7="KM"),"BUSINESS UNIT 1 - KIRAN","BUSINESS UNIT 2 - SHIFALI"))</f>
        <v>BUSINESS UNIT 2 - SHIFALI</v>
      </c>
      <c r="B7" s="26">
        <f>IF('FY_25-26'!$C7&lt;&gt;"",ROW()-ROW($B$2),"")</f>
        <v>5</v>
      </c>
      <c r="C7" s="26" t="s">
        <v>60</v>
      </c>
      <c r="D7" s="26" t="s">
        <v>24</v>
      </c>
      <c r="E7" s="27" t="s">
        <v>61</v>
      </c>
      <c r="F7" s="26" t="s">
        <v>26</v>
      </c>
      <c r="G7" s="26" t="s">
        <v>27</v>
      </c>
      <c r="H7" s="26" t="s">
        <v>62</v>
      </c>
      <c r="I7" s="26" t="s">
        <v>36</v>
      </c>
      <c r="J7" s="26" t="s">
        <v>63</v>
      </c>
      <c r="K7" s="26">
        <v>3380680</v>
      </c>
      <c r="L7" s="26" t="s">
        <v>30</v>
      </c>
      <c r="M7" s="26" t="s">
        <v>64</v>
      </c>
      <c r="N7" s="27" t="s">
        <v>65</v>
      </c>
      <c r="O7" s="28">
        <v>45902</v>
      </c>
      <c r="P7" s="26">
        <v>100</v>
      </c>
      <c r="Q7" s="29" t="s">
        <v>31</v>
      </c>
      <c r="R7" s="30">
        <v>5.82</v>
      </c>
      <c r="S7" s="29" t="str">
        <f t="shared" si="0"/>
        <v>-</v>
      </c>
      <c r="T7" s="30">
        <f t="shared" si="1"/>
        <v>582</v>
      </c>
      <c r="U7" s="34">
        <v>45978</v>
      </c>
      <c r="V7" s="31">
        <v>46003</v>
      </c>
      <c r="W7" s="33"/>
      <c r="X7" s="32" t="s">
        <v>40</v>
      </c>
      <c r="Y7" s="33" t="s">
        <v>635</v>
      </c>
      <c r="Z7" s="33" t="s">
        <v>632</v>
      </c>
      <c r="AA7" s="33" t="s">
        <v>636</v>
      </c>
      <c r="AB7" s="33" t="s">
        <v>628</v>
      </c>
    </row>
    <row r="8" spans="1:28" ht="30">
      <c r="A8" s="12" t="str">
        <f>IF('FY_25-26'!$D8="","",IF(OR('FY_25-26'!$D8="BOOHOO LADIES",'FY_25-26'!$D8="PLT",'FY_25-26'!$D8="KM"),"BUSINESS UNIT 1 - KIRAN","BUSINESS UNIT 2 - SHIFALI"))</f>
        <v>BUSINESS UNIT 2 - SHIFALI</v>
      </c>
      <c r="B8" s="26">
        <f>IF('FY_25-26'!$C8&lt;&gt;"",ROW()-ROW($B$2),"")</f>
        <v>6</v>
      </c>
      <c r="C8" s="26" t="s">
        <v>60</v>
      </c>
      <c r="D8" s="26" t="s">
        <v>24</v>
      </c>
      <c r="E8" s="27" t="s">
        <v>61</v>
      </c>
      <c r="F8" s="26" t="s">
        <v>26</v>
      </c>
      <c r="G8" s="26" t="s">
        <v>27</v>
      </c>
      <c r="H8" s="26" t="s">
        <v>66</v>
      </c>
      <c r="I8" s="26" t="s">
        <v>36</v>
      </c>
      <c r="J8" s="26" t="s">
        <v>63</v>
      </c>
      <c r="K8" s="26">
        <v>3380681</v>
      </c>
      <c r="L8" s="26" t="s">
        <v>30</v>
      </c>
      <c r="M8" s="26" t="s">
        <v>67</v>
      </c>
      <c r="N8" s="27" t="s">
        <v>68</v>
      </c>
      <c r="O8" s="28">
        <v>45902</v>
      </c>
      <c r="P8" s="26">
        <v>100</v>
      </c>
      <c r="Q8" s="29" t="s">
        <v>31</v>
      </c>
      <c r="R8" s="30">
        <v>7.47</v>
      </c>
      <c r="S8" s="29" t="str">
        <f t="shared" si="0"/>
        <v>-</v>
      </c>
      <c r="T8" s="30">
        <f t="shared" si="1"/>
        <v>747</v>
      </c>
      <c r="U8" s="34">
        <v>46006</v>
      </c>
      <c r="V8" s="31">
        <v>46001</v>
      </c>
      <c r="W8" s="33"/>
      <c r="X8" s="32" t="s">
        <v>40</v>
      </c>
      <c r="Y8" s="33" t="s">
        <v>635</v>
      </c>
      <c r="Z8" s="33" t="s">
        <v>632</v>
      </c>
      <c r="AA8" s="33" t="s">
        <v>636</v>
      </c>
      <c r="AB8" s="33" t="s">
        <v>628</v>
      </c>
    </row>
    <row r="9" spans="1:28" ht="24">
      <c r="A9" s="12" t="str">
        <f>IF('FY_25-26'!$D9="","",IF(OR('FY_25-26'!$D9="BOOHOO LADIES",'FY_25-26'!$D9="PLT",'FY_25-26'!$D9="KM"),"BUSINESS UNIT 1 - KIRAN","BUSINESS UNIT 2 - SHIFALI"))</f>
        <v>BUSINESS UNIT 2 - SHIFALI</v>
      </c>
      <c r="B9" s="26">
        <f>IF('FY_25-26'!$C9&lt;&gt;"",ROW()-ROW($B$2),"")</f>
        <v>7</v>
      </c>
      <c r="C9" s="26" t="s">
        <v>45</v>
      </c>
      <c r="D9" s="26" t="s">
        <v>46</v>
      </c>
      <c r="E9" s="27" t="s">
        <v>72</v>
      </c>
      <c r="F9" s="26" t="s">
        <v>73</v>
      </c>
      <c r="G9" s="26" t="s">
        <v>27</v>
      </c>
      <c r="H9" s="26" t="s">
        <v>77</v>
      </c>
      <c r="I9" s="26" t="s">
        <v>28</v>
      </c>
      <c r="J9" s="26" t="s">
        <v>29</v>
      </c>
      <c r="K9" s="26">
        <v>3380999</v>
      </c>
      <c r="L9" s="26" t="s">
        <v>30</v>
      </c>
      <c r="M9" s="26" t="s">
        <v>78</v>
      </c>
      <c r="N9" s="27" t="s">
        <v>79</v>
      </c>
      <c r="O9" s="28">
        <v>45904</v>
      </c>
      <c r="P9" s="26">
        <v>100</v>
      </c>
      <c r="Q9" s="29">
        <v>9.15</v>
      </c>
      <c r="R9" s="30" t="s">
        <v>31</v>
      </c>
      <c r="S9" s="29">
        <f t="shared" si="0"/>
        <v>915</v>
      </c>
      <c r="T9" s="30" t="str">
        <f t="shared" si="1"/>
        <v>-</v>
      </c>
      <c r="U9" s="34">
        <v>46153</v>
      </c>
      <c r="V9" s="31" t="s">
        <v>31</v>
      </c>
      <c r="W9" s="33"/>
      <c r="X9" s="32" t="s">
        <v>32</v>
      </c>
      <c r="Y9" s="33" t="s">
        <v>634</v>
      </c>
      <c r="Z9" s="33" t="s">
        <v>632</v>
      </c>
      <c r="AA9" s="33" t="s">
        <v>636</v>
      </c>
      <c r="AB9" s="33" t="s">
        <v>628</v>
      </c>
    </row>
    <row r="10" spans="1:28" ht="24">
      <c r="A10" s="12" t="str">
        <f>IF('FY_25-26'!$D10="","",IF(OR('FY_25-26'!$D10="BOOHOO LADIES",'FY_25-26'!$D10="PLT",'FY_25-26'!$D10="KM"),"BUSINESS UNIT 1 - KIRAN","BUSINESS UNIT 2 - SHIFALI"))</f>
        <v>BUSINESS UNIT 2 - SHIFALI</v>
      </c>
      <c r="B10" s="26">
        <f>IF('FY_25-26'!$C10&lt;&gt;"",ROW()-ROW($B$2),"")</f>
        <v>8</v>
      </c>
      <c r="C10" s="26" t="s">
        <v>45</v>
      </c>
      <c r="D10" s="26" t="s">
        <v>46</v>
      </c>
      <c r="E10" s="27" t="s">
        <v>72</v>
      </c>
      <c r="F10" s="26" t="s">
        <v>73</v>
      </c>
      <c r="G10" s="26" t="s">
        <v>27</v>
      </c>
      <c r="H10" s="26" t="s">
        <v>80</v>
      </c>
      <c r="I10" s="26" t="s">
        <v>28</v>
      </c>
      <c r="J10" s="26" t="s">
        <v>44</v>
      </c>
      <c r="K10" s="26">
        <v>3380998</v>
      </c>
      <c r="L10" s="26" t="s">
        <v>30</v>
      </c>
      <c r="M10" s="26" t="s">
        <v>81</v>
      </c>
      <c r="N10" s="27" t="s">
        <v>82</v>
      </c>
      <c r="O10" s="28">
        <v>45904</v>
      </c>
      <c r="P10" s="26">
        <v>150</v>
      </c>
      <c r="Q10" s="29">
        <v>9.15</v>
      </c>
      <c r="R10" s="30" t="s">
        <v>31</v>
      </c>
      <c r="S10" s="29">
        <f t="shared" si="0"/>
        <v>1372.5</v>
      </c>
      <c r="T10" s="30" t="str">
        <f t="shared" si="1"/>
        <v>-</v>
      </c>
      <c r="U10" s="34">
        <v>46118</v>
      </c>
      <c r="V10" s="31" t="s">
        <v>31</v>
      </c>
      <c r="W10" s="33"/>
      <c r="X10" s="32" t="s">
        <v>32</v>
      </c>
      <c r="Y10" s="33" t="s">
        <v>634</v>
      </c>
      <c r="Z10" s="33" t="s">
        <v>632</v>
      </c>
      <c r="AA10" s="33" t="s">
        <v>636</v>
      </c>
      <c r="AB10" s="33" t="s">
        <v>628</v>
      </c>
    </row>
    <row r="11" spans="1:28" ht="24">
      <c r="A11" s="12" t="str">
        <f>IF('FY_25-26'!$D11="","",IF(OR('FY_25-26'!$D11="BOOHOO LADIES",'FY_25-26'!$D11="PLT",'FY_25-26'!$D11="KM"),"BUSINESS UNIT 1 - KIRAN","BUSINESS UNIT 2 - SHIFALI"))</f>
        <v>BUSINESS UNIT 2 - SHIFALI</v>
      </c>
      <c r="B11" s="26">
        <f>IF('FY_25-26'!$C11&lt;&gt;"",ROW()-ROW($B$2),"")</f>
        <v>9</v>
      </c>
      <c r="C11" s="26" t="s">
        <v>45</v>
      </c>
      <c r="D11" s="26" t="s">
        <v>46</v>
      </c>
      <c r="E11" s="27" t="s">
        <v>72</v>
      </c>
      <c r="F11" s="26" t="s">
        <v>73</v>
      </c>
      <c r="G11" s="26" t="s">
        <v>27</v>
      </c>
      <c r="H11" s="26" t="s">
        <v>80</v>
      </c>
      <c r="I11" s="26" t="s">
        <v>28</v>
      </c>
      <c r="J11" s="26" t="s">
        <v>44</v>
      </c>
      <c r="K11" s="26">
        <v>3381000</v>
      </c>
      <c r="L11" s="26" t="s">
        <v>30</v>
      </c>
      <c r="M11" s="26" t="s">
        <v>81</v>
      </c>
      <c r="N11" s="27" t="s">
        <v>82</v>
      </c>
      <c r="O11" s="28">
        <v>45904</v>
      </c>
      <c r="P11" s="26">
        <v>200</v>
      </c>
      <c r="Q11" s="29">
        <v>9.15</v>
      </c>
      <c r="R11" s="30" t="s">
        <v>31</v>
      </c>
      <c r="S11" s="29">
        <f t="shared" ref="S11:S23" si="2">IF($Q11="","",IF($Q11="-","-",$P11*$Q11))</f>
        <v>1830</v>
      </c>
      <c r="T11" s="30" t="str">
        <f t="shared" ref="T11:T23" si="3">IF($R11="","",IF($R11="-","-",$P11*$R11))</f>
        <v>-</v>
      </c>
      <c r="U11" s="34">
        <v>46062</v>
      </c>
      <c r="V11" s="31" t="s">
        <v>31</v>
      </c>
      <c r="W11" s="33"/>
      <c r="X11" s="32" t="s">
        <v>32</v>
      </c>
      <c r="Y11" s="33" t="s">
        <v>634</v>
      </c>
      <c r="Z11" s="33" t="s">
        <v>632</v>
      </c>
      <c r="AA11" s="33" t="s">
        <v>636</v>
      </c>
      <c r="AB11" s="33" t="s">
        <v>628</v>
      </c>
    </row>
    <row r="12" spans="1:28" ht="24">
      <c r="A12" s="12" t="str">
        <f>IF('FY_25-26'!$D12="","",IF(OR('FY_25-26'!$D12="BOOHOO LADIES",'FY_25-26'!$D12="PLT",'FY_25-26'!$D12="KM"),"BUSINESS UNIT 1 - KIRAN","BUSINESS UNIT 2 - SHIFALI"))</f>
        <v>BUSINESS UNIT 2 - SHIFALI</v>
      </c>
      <c r="B12" s="26">
        <f>IF('FY_25-26'!$C12&lt;&gt;"",ROW()-ROW($B$2),"")</f>
        <v>10</v>
      </c>
      <c r="C12" s="26" t="s">
        <v>45</v>
      </c>
      <c r="D12" s="26" t="s">
        <v>46</v>
      </c>
      <c r="E12" s="27" t="s">
        <v>72</v>
      </c>
      <c r="F12" s="26" t="s">
        <v>73</v>
      </c>
      <c r="G12" s="26" t="s">
        <v>27</v>
      </c>
      <c r="H12" s="26" t="s">
        <v>74</v>
      </c>
      <c r="I12" s="26" t="s">
        <v>28</v>
      </c>
      <c r="J12" s="26" t="s">
        <v>44</v>
      </c>
      <c r="K12" s="26">
        <v>3381001</v>
      </c>
      <c r="L12" s="26" t="s">
        <v>30</v>
      </c>
      <c r="M12" s="26" t="s">
        <v>75</v>
      </c>
      <c r="N12" s="27" t="s">
        <v>76</v>
      </c>
      <c r="O12" s="28">
        <v>45904</v>
      </c>
      <c r="P12" s="26">
        <v>150</v>
      </c>
      <c r="Q12" s="29">
        <v>18.2</v>
      </c>
      <c r="R12" s="30" t="s">
        <v>31</v>
      </c>
      <c r="S12" s="29">
        <f t="shared" si="2"/>
        <v>2730</v>
      </c>
      <c r="T12" s="30" t="str">
        <f t="shared" si="3"/>
        <v>-</v>
      </c>
      <c r="U12" s="34">
        <v>46118</v>
      </c>
      <c r="V12" s="31" t="s">
        <v>31</v>
      </c>
      <c r="W12" s="33"/>
      <c r="X12" s="32" t="s">
        <v>32</v>
      </c>
      <c r="Y12" s="33" t="s">
        <v>634</v>
      </c>
      <c r="Z12" s="33" t="s">
        <v>632</v>
      </c>
      <c r="AA12" s="33" t="s">
        <v>636</v>
      </c>
      <c r="AB12" s="33" t="s">
        <v>628</v>
      </c>
    </row>
    <row r="13" spans="1:28" ht="30">
      <c r="A13" s="12" t="str">
        <f>IF('FY_25-26'!$D13="","",IF(OR('FY_25-26'!$D13="BOOHOO LADIES",'FY_25-26'!$D13="PLT",'FY_25-26'!$D13="KM"),"BUSINESS UNIT 1 - KIRAN","BUSINESS UNIT 2 - SHIFALI"))</f>
        <v>BUSINESS UNIT 2 - SHIFALI</v>
      </c>
      <c r="B13" s="26">
        <f>IF('FY_25-26'!$C13&lt;&gt;"",ROW()-ROW($B$2),"")</f>
        <v>11</v>
      </c>
      <c r="C13" s="26" t="s">
        <v>60</v>
      </c>
      <c r="D13" s="26" t="s">
        <v>24</v>
      </c>
      <c r="E13" s="27" t="s">
        <v>61</v>
      </c>
      <c r="F13" s="26" t="s">
        <v>26</v>
      </c>
      <c r="G13" s="26" t="s">
        <v>27</v>
      </c>
      <c r="H13" s="26" t="s">
        <v>83</v>
      </c>
      <c r="I13" s="26" t="s">
        <v>36</v>
      </c>
      <c r="J13" s="26" t="s">
        <v>84</v>
      </c>
      <c r="K13" s="26">
        <v>3381208</v>
      </c>
      <c r="L13" s="26" t="s">
        <v>30</v>
      </c>
      <c r="M13" s="26" t="s">
        <v>85</v>
      </c>
      <c r="N13" s="27" t="s">
        <v>86</v>
      </c>
      <c r="O13" s="28">
        <v>45904</v>
      </c>
      <c r="P13" s="26">
        <v>100</v>
      </c>
      <c r="Q13" s="29" t="s">
        <v>31</v>
      </c>
      <c r="R13" s="30">
        <v>9.9</v>
      </c>
      <c r="S13" s="29" t="str">
        <f t="shared" si="2"/>
        <v>-</v>
      </c>
      <c r="T13" s="30">
        <f t="shared" si="3"/>
        <v>990</v>
      </c>
      <c r="U13" s="34">
        <v>46006</v>
      </c>
      <c r="V13" s="31" t="s">
        <v>31</v>
      </c>
      <c r="W13" s="33"/>
      <c r="X13" s="32" t="s">
        <v>32</v>
      </c>
      <c r="Y13" s="33" t="s">
        <v>634</v>
      </c>
      <c r="Z13" s="33" t="s">
        <v>632</v>
      </c>
      <c r="AA13" s="33" t="s">
        <v>636</v>
      </c>
      <c r="AB13" s="33" t="s">
        <v>628</v>
      </c>
    </row>
    <row r="14" spans="1:28" ht="24">
      <c r="A14" s="12" t="str">
        <f>IF('FY_25-26'!$D14="","",IF(OR('FY_25-26'!$D14="BOOHOO LADIES",'FY_25-26'!$D14="PLT",'FY_25-26'!$D14="KM"),"BUSINESS UNIT 1 - KIRAN","BUSINESS UNIT 2 - SHIFALI"))</f>
        <v>BUSINESS UNIT 2 - SHIFALI</v>
      </c>
      <c r="B14" s="26">
        <f>IF('FY_25-26'!$C14&lt;&gt;"",ROW()-ROW($B$2),"")</f>
        <v>12</v>
      </c>
      <c r="C14" s="26" t="s">
        <v>87</v>
      </c>
      <c r="D14" s="26" t="s">
        <v>88</v>
      </c>
      <c r="E14" s="27" t="s">
        <v>89</v>
      </c>
      <c r="F14" s="26" t="s">
        <v>26</v>
      </c>
      <c r="G14" s="26" t="s">
        <v>27</v>
      </c>
      <c r="H14" s="26" t="s">
        <v>90</v>
      </c>
      <c r="I14" s="26" t="s">
        <v>36</v>
      </c>
      <c r="J14" s="26" t="s">
        <v>43</v>
      </c>
      <c r="K14" s="26">
        <v>3381389</v>
      </c>
      <c r="L14" s="26" t="s">
        <v>30</v>
      </c>
      <c r="M14" s="26" t="s">
        <v>91</v>
      </c>
      <c r="N14" s="27" t="s">
        <v>92</v>
      </c>
      <c r="O14" s="28">
        <v>45904</v>
      </c>
      <c r="P14" s="26">
        <v>120</v>
      </c>
      <c r="Q14" s="29" t="s">
        <v>31</v>
      </c>
      <c r="R14" s="30">
        <v>14</v>
      </c>
      <c r="S14" s="29" t="str">
        <f t="shared" si="2"/>
        <v>-</v>
      </c>
      <c r="T14" s="30">
        <f t="shared" si="3"/>
        <v>1680</v>
      </c>
      <c r="U14" s="34">
        <v>45993</v>
      </c>
      <c r="V14" s="35">
        <v>46014</v>
      </c>
      <c r="W14" s="33"/>
      <c r="X14" s="32" t="s">
        <v>32</v>
      </c>
      <c r="Y14" s="33" t="s">
        <v>634</v>
      </c>
      <c r="Z14" s="33" t="s">
        <v>632</v>
      </c>
      <c r="AA14" s="33" t="s">
        <v>636</v>
      </c>
      <c r="AB14" s="33" t="s">
        <v>628</v>
      </c>
    </row>
    <row r="15" spans="1:28" ht="24">
      <c r="A15" s="12" t="str">
        <f>IF('FY_25-26'!$D15="","",IF(OR('FY_25-26'!$D15="BOOHOO LADIES",'FY_25-26'!$D15="PLT",'FY_25-26'!$D15="KM"),"BUSINESS UNIT 1 - KIRAN","BUSINESS UNIT 2 - SHIFALI"))</f>
        <v>BUSINESS UNIT 2 - SHIFALI</v>
      </c>
      <c r="B15" s="26">
        <f>IF('FY_25-26'!$C15&lt;&gt;"",ROW()-ROW($B$2),"")</f>
        <v>13</v>
      </c>
      <c r="C15" s="26" t="s">
        <v>87</v>
      </c>
      <c r="D15" s="26" t="s">
        <v>88</v>
      </c>
      <c r="E15" s="27" t="s">
        <v>89</v>
      </c>
      <c r="F15" s="26" t="s">
        <v>26</v>
      </c>
      <c r="G15" s="26" t="s">
        <v>27</v>
      </c>
      <c r="H15" s="26" t="s">
        <v>93</v>
      </c>
      <c r="I15" s="26" t="s">
        <v>36</v>
      </c>
      <c r="J15" s="26" t="s">
        <v>44</v>
      </c>
      <c r="K15" s="26">
        <v>3381390</v>
      </c>
      <c r="L15" s="26" t="s">
        <v>30</v>
      </c>
      <c r="M15" s="26" t="s">
        <v>94</v>
      </c>
      <c r="N15" s="27" t="s">
        <v>95</v>
      </c>
      <c r="O15" s="28">
        <v>45904</v>
      </c>
      <c r="P15" s="26">
        <v>153</v>
      </c>
      <c r="Q15" s="29" t="s">
        <v>31</v>
      </c>
      <c r="R15" s="30">
        <v>12.5</v>
      </c>
      <c r="S15" s="29" t="str">
        <f t="shared" si="2"/>
        <v>-</v>
      </c>
      <c r="T15" s="30">
        <f t="shared" si="3"/>
        <v>1912.5</v>
      </c>
      <c r="U15" s="34">
        <v>45993</v>
      </c>
      <c r="V15" s="31" t="s">
        <v>31</v>
      </c>
      <c r="W15" s="33"/>
      <c r="X15" s="32" t="s">
        <v>32</v>
      </c>
      <c r="Y15" s="33" t="s">
        <v>634</v>
      </c>
      <c r="Z15" s="33" t="s">
        <v>632</v>
      </c>
      <c r="AA15" s="33" t="s">
        <v>636</v>
      </c>
      <c r="AB15" s="33" t="s">
        <v>628</v>
      </c>
    </row>
    <row r="16" spans="1:28" ht="24">
      <c r="A16" s="12" t="str">
        <f>IF('FY_25-26'!$D16="","",IF(OR('FY_25-26'!$D16="BOOHOO LADIES",'FY_25-26'!$D16="PLT",'FY_25-26'!$D16="KM"),"BUSINESS UNIT 1 - KIRAN","BUSINESS UNIT 2 - SHIFALI"))</f>
        <v>BUSINESS UNIT 2 - SHIFALI</v>
      </c>
      <c r="B16" s="26">
        <f>IF('FY_25-26'!$C16&lt;&gt;"",ROW()-ROW($B$2),"")</f>
        <v>14</v>
      </c>
      <c r="C16" s="26" t="s">
        <v>87</v>
      </c>
      <c r="D16" s="26" t="s">
        <v>88</v>
      </c>
      <c r="E16" s="27" t="s">
        <v>89</v>
      </c>
      <c r="F16" s="26" t="s">
        <v>26</v>
      </c>
      <c r="G16" s="26" t="s">
        <v>27</v>
      </c>
      <c r="H16" s="26" t="s">
        <v>96</v>
      </c>
      <c r="I16" s="26" t="s">
        <v>36</v>
      </c>
      <c r="J16" s="26" t="s">
        <v>44</v>
      </c>
      <c r="K16" s="26">
        <v>3381391</v>
      </c>
      <c r="L16" s="26" t="s">
        <v>30</v>
      </c>
      <c r="M16" s="26" t="s">
        <v>97</v>
      </c>
      <c r="N16" s="27" t="s">
        <v>98</v>
      </c>
      <c r="O16" s="28">
        <v>45904</v>
      </c>
      <c r="P16" s="26">
        <v>153</v>
      </c>
      <c r="Q16" s="29" t="s">
        <v>31</v>
      </c>
      <c r="R16" s="30">
        <v>12</v>
      </c>
      <c r="S16" s="29" t="str">
        <f t="shared" si="2"/>
        <v>-</v>
      </c>
      <c r="T16" s="30">
        <f t="shared" si="3"/>
        <v>1836</v>
      </c>
      <c r="U16" s="34">
        <v>45993</v>
      </c>
      <c r="V16" s="35">
        <v>46014</v>
      </c>
      <c r="W16" s="33"/>
      <c r="X16" s="32" t="s">
        <v>32</v>
      </c>
      <c r="Y16" s="33" t="s">
        <v>634</v>
      </c>
      <c r="Z16" s="33" t="s">
        <v>632</v>
      </c>
      <c r="AA16" s="33" t="s">
        <v>636</v>
      </c>
      <c r="AB16" s="33" t="s">
        <v>628</v>
      </c>
    </row>
    <row r="17" spans="1:28" ht="24">
      <c r="A17" s="12" t="str">
        <f>IF('FY_25-26'!$D17="","",IF(OR('FY_25-26'!$D17="BOOHOO LADIES",'FY_25-26'!$D17="PLT",'FY_25-26'!$D17="KM"),"BUSINESS UNIT 1 - KIRAN","BUSINESS UNIT 2 - SHIFALI"))</f>
        <v>BUSINESS UNIT 2 - SHIFALI</v>
      </c>
      <c r="B17" s="26">
        <f>IF('FY_25-26'!$C17&lt;&gt;"",ROW()-ROW($B$2),"")</f>
        <v>15</v>
      </c>
      <c r="C17" s="26" t="s">
        <v>87</v>
      </c>
      <c r="D17" s="26" t="s">
        <v>88</v>
      </c>
      <c r="E17" s="27" t="s">
        <v>89</v>
      </c>
      <c r="F17" s="26" t="s">
        <v>26</v>
      </c>
      <c r="G17" s="26" t="s">
        <v>27</v>
      </c>
      <c r="H17" s="26" t="s">
        <v>96</v>
      </c>
      <c r="I17" s="26" t="s">
        <v>36</v>
      </c>
      <c r="J17" s="26" t="s">
        <v>42</v>
      </c>
      <c r="K17" s="26">
        <v>3381391</v>
      </c>
      <c r="L17" s="26" t="s">
        <v>30</v>
      </c>
      <c r="M17" s="26" t="s">
        <v>97</v>
      </c>
      <c r="N17" s="27" t="s">
        <v>98</v>
      </c>
      <c r="O17" s="28">
        <v>45904</v>
      </c>
      <c r="P17" s="26">
        <v>153</v>
      </c>
      <c r="Q17" s="29" t="s">
        <v>31</v>
      </c>
      <c r="R17" s="30">
        <v>12</v>
      </c>
      <c r="S17" s="29" t="str">
        <f t="shared" si="2"/>
        <v>-</v>
      </c>
      <c r="T17" s="30">
        <f t="shared" si="3"/>
        <v>1836</v>
      </c>
      <c r="U17" s="34">
        <v>45993</v>
      </c>
      <c r="V17" s="35">
        <v>46007</v>
      </c>
      <c r="W17" s="33"/>
      <c r="X17" s="32" t="s">
        <v>32</v>
      </c>
      <c r="Y17" s="33" t="s">
        <v>634</v>
      </c>
      <c r="Z17" s="33" t="s">
        <v>632</v>
      </c>
      <c r="AA17" s="33" t="s">
        <v>636</v>
      </c>
      <c r="AB17" s="33" t="s">
        <v>628</v>
      </c>
    </row>
    <row r="18" spans="1:28" ht="24">
      <c r="A18" s="12" t="str">
        <f>IF('FY_25-26'!$D18="","",IF(OR('FY_25-26'!$D18="BOOHOO LADIES",'FY_25-26'!$D18="PLT",'FY_25-26'!$D18="KM"),"BUSINESS UNIT 1 - KIRAN","BUSINESS UNIT 2 - SHIFALI"))</f>
        <v>BUSINESS UNIT 2 - SHIFALI</v>
      </c>
      <c r="B18" s="26">
        <f>IF('FY_25-26'!$C18&lt;&gt;"",ROW()-ROW($B$2),"")</f>
        <v>16</v>
      </c>
      <c r="C18" s="26" t="s">
        <v>87</v>
      </c>
      <c r="D18" s="26" t="s">
        <v>88</v>
      </c>
      <c r="E18" s="27" t="s">
        <v>89</v>
      </c>
      <c r="F18" s="26" t="s">
        <v>26</v>
      </c>
      <c r="G18" s="26" t="s">
        <v>27</v>
      </c>
      <c r="H18" s="26" t="s">
        <v>99</v>
      </c>
      <c r="I18" s="26" t="s">
        <v>36</v>
      </c>
      <c r="J18" s="26" t="s">
        <v>100</v>
      </c>
      <c r="K18" s="26">
        <v>3381388</v>
      </c>
      <c r="L18" s="26" t="s">
        <v>30</v>
      </c>
      <c r="M18" s="26" t="s">
        <v>91</v>
      </c>
      <c r="N18" s="27" t="s">
        <v>101</v>
      </c>
      <c r="O18" s="28">
        <v>45904</v>
      </c>
      <c r="P18" s="26">
        <v>120</v>
      </c>
      <c r="Q18" s="29" t="s">
        <v>31</v>
      </c>
      <c r="R18" s="30">
        <v>14</v>
      </c>
      <c r="S18" s="29" t="str">
        <f t="shared" si="2"/>
        <v>-</v>
      </c>
      <c r="T18" s="30">
        <f t="shared" si="3"/>
        <v>1680</v>
      </c>
      <c r="U18" s="34">
        <v>45993</v>
      </c>
      <c r="V18" s="35">
        <v>46014</v>
      </c>
      <c r="W18" s="33"/>
      <c r="X18" s="32" t="s">
        <v>32</v>
      </c>
      <c r="Y18" s="33" t="s">
        <v>634</v>
      </c>
      <c r="Z18" s="33" t="s">
        <v>632</v>
      </c>
      <c r="AA18" s="33" t="s">
        <v>636</v>
      </c>
      <c r="AB18" s="33" t="s">
        <v>628</v>
      </c>
    </row>
    <row r="19" spans="1:28" ht="30">
      <c r="A19" s="12" t="str">
        <f>IF('FY_25-26'!$D19="","",IF(OR('FY_25-26'!$D19="BOOHOO LADIES",'FY_25-26'!$D19="PLT",'FY_25-26'!$D19="KM"),"BUSINESS UNIT 1 - KIRAN","BUSINESS UNIT 2 - SHIFALI"))</f>
        <v>BUSINESS UNIT 2 - SHIFALI</v>
      </c>
      <c r="B19" s="26">
        <f>IF('FY_25-26'!$C19&lt;&gt;"",ROW()-ROW($B$2),"")</f>
        <v>17</v>
      </c>
      <c r="C19" s="26" t="s">
        <v>33</v>
      </c>
      <c r="D19" s="26" t="s">
        <v>34</v>
      </c>
      <c r="E19" s="27" t="s">
        <v>38</v>
      </c>
      <c r="F19" s="26" t="s">
        <v>26</v>
      </c>
      <c r="G19" s="26" t="s">
        <v>27</v>
      </c>
      <c r="H19" s="26" t="s">
        <v>106</v>
      </c>
      <c r="I19" s="26" t="s">
        <v>28</v>
      </c>
      <c r="J19" s="26" t="s">
        <v>39</v>
      </c>
      <c r="K19" s="26">
        <v>3383261</v>
      </c>
      <c r="L19" s="26" t="s">
        <v>30</v>
      </c>
      <c r="M19" s="26" t="s">
        <v>107</v>
      </c>
      <c r="N19" s="27" t="s">
        <v>108</v>
      </c>
      <c r="O19" s="28">
        <v>45911</v>
      </c>
      <c r="P19" s="26">
        <v>151</v>
      </c>
      <c r="Q19" s="29" t="s">
        <v>31</v>
      </c>
      <c r="R19" s="30">
        <v>36.5</v>
      </c>
      <c r="S19" s="29" t="str">
        <f t="shared" si="2"/>
        <v>-</v>
      </c>
      <c r="T19" s="30">
        <f t="shared" si="3"/>
        <v>5511.5</v>
      </c>
      <c r="U19" s="34">
        <v>46021</v>
      </c>
      <c r="V19" s="31" t="s">
        <v>31</v>
      </c>
      <c r="W19" s="33"/>
      <c r="X19" s="32" t="s">
        <v>32</v>
      </c>
      <c r="Y19" s="33" t="s">
        <v>634</v>
      </c>
      <c r="Z19" s="33" t="s">
        <v>632</v>
      </c>
      <c r="AA19" s="33" t="s">
        <v>636</v>
      </c>
      <c r="AB19" s="33" t="s">
        <v>628</v>
      </c>
    </row>
    <row r="20" spans="1:28" ht="24">
      <c r="A20" s="12" t="str">
        <f>IF('FY_25-26'!$D20="","",IF(OR('FY_25-26'!$D20="BOOHOO LADIES",'FY_25-26'!$D20="PLT",'FY_25-26'!$D20="KM"),"BUSINESS UNIT 1 - KIRAN","BUSINESS UNIT 2 - SHIFALI"))</f>
        <v>BUSINESS UNIT 2 - SHIFALI</v>
      </c>
      <c r="B20" s="26">
        <f>IF('FY_25-26'!$C20&lt;&gt;"",ROW()-ROW($B$2),"")</f>
        <v>18</v>
      </c>
      <c r="C20" s="26" t="s">
        <v>33</v>
      </c>
      <c r="D20" s="26" t="s">
        <v>34</v>
      </c>
      <c r="E20" s="27" t="s">
        <v>38</v>
      </c>
      <c r="F20" s="26" t="s">
        <v>26</v>
      </c>
      <c r="G20" s="26" t="s">
        <v>27</v>
      </c>
      <c r="H20" s="26" t="s">
        <v>109</v>
      </c>
      <c r="I20" s="26" t="s">
        <v>28</v>
      </c>
      <c r="J20" s="26" t="s">
        <v>39</v>
      </c>
      <c r="K20" s="26">
        <v>3383262</v>
      </c>
      <c r="L20" s="26" t="s">
        <v>30</v>
      </c>
      <c r="M20" s="26" t="s">
        <v>110</v>
      </c>
      <c r="N20" s="27" t="s">
        <v>111</v>
      </c>
      <c r="O20" s="28">
        <v>45911</v>
      </c>
      <c r="P20" s="26">
        <v>200</v>
      </c>
      <c r="Q20" s="29" t="s">
        <v>31</v>
      </c>
      <c r="R20" s="30">
        <v>32.1</v>
      </c>
      <c r="S20" s="29" t="str">
        <f t="shared" si="2"/>
        <v>-</v>
      </c>
      <c r="T20" s="30">
        <f t="shared" si="3"/>
        <v>6420</v>
      </c>
      <c r="U20" s="34">
        <v>46021</v>
      </c>
      <c r="V20" s="31" t="s">
        <v>31</v>
      </c>
      <c r="W20" s="33"/>
      <c r="X20" s="32" t="s">
        <v>40</v>
      </c>
      <c r="Y20" s="33" t="s">
        <v>635</v>
      </c>
      <c r="Z20" s="33" t="s">
        <v>632</v>
      </c>
      <c r="AA20" s="33" t="s">
        <v>636</v>
      </c>
      <c r="AB20" s="33" t="s">
        <v>628</v>
      </c>
    </row>
    <row r="21" spans="1:28" ht="30">
      <c r="A21" s="12" t="str">
        <f>IF('FY_25-26'!$D21="","",IF(OR('FY_25-26'!$D21="BOOHOO LADIES",'FY_25-26'!$D21="PLT",'FY_25-26'!$D21="KM"),"BUSINESS UNIT 1 - KIRAN","BUSINESS UNIT 2 - SHIFALI"))</f>
        <v>BUSINESS UNIT 2 - SHIFALI</v>
      </c>
      <c r="B21" s="26">
        <f>IF('FY_25-26'!$C21&lt;&gt;"",ROW()-ROW($B$2),"")</f>
        <v>19</v>
      </c>
      <c r="C21" s="26" t="s">
        <v>60</v>
      </c>
      <c r="D21" s="26" t="s">
        <v>34</v>
      </c>
      <c r="E21" s="27" t="s">
        <v>38</v>
      </c>
      <c r="F21" s="26" t="s">
        <v>26</v>
      </c>
      <c r="G21" s="26" t="s">
        <v>27</v>
      </c>
      <c r="H21" s="26" t="s">
        <v>112</v>
      </c>
      <c r="I21" s="26" t="s">
        <v>28</v>
      </c>
      <c r="J21" s="26" t="s">
        <v>113</v>
      </c>
      <c r="K21" s="26">
        <v>3383248</v>
      </c>
      <c r="L21" s="26" t="s">
        <v>30</v>
      </c>
      <c r="M21" s="26" t="s">
        <v>114</v>
      </c>
      <c r="N21" s="27" t="s">
        <v>115</v>
      </c>
      <c r="O21" s="28">
        <v>45911</v>
      </c>
      <c r="P21" s="26">
        <v>200</v>
      </c>
      <c r="Q21" s="29" t="s">
        <v>31</v>
      </c>
      <c r="R21" s="30">
        <v>11</v>
      </c>
      <c r="S21" s="29" t="str">
        <f t="shared" si="2"/>
        <v>-</v>
      </c>
      <c r="T21" s="30">
        <f t="shared" si="3"/>
        <v>2200</v>
      </c>
      <c r="U21" s="34">
        <v>46019</v>
      </c>
      <c r="V21" s="31" t="s">
        <v>31</v>
      </c>
      <c r="W21" s="33"/>
      <c r="X21" s="32" t="s">
        <v>40</v>
      </c>
      <c r="Y21" s="33" t="s">
        <v>635</v>
      </c>
      <c r="Z21" s="33" t="s">
        <v>632</v>
      </c>
      <c r="AA21" s="33" t="s">
        <v>636</v>
      </c>
      <c r="AB21" s="33" t="s">
        <v>628</v>
      </c>
    </row>
    <row r="22" spans="1:28" ht="30">
      <c r="A22" s="12" t="str">
        <f>IF('FY_25-26'!$D22="","",IF(OR('FY_25-26'!$D22="BOOHOO LADIES",'FY_25-26'!$D22="PLT",'FY_25-26'!$D22="KM"),"BUSINESS UNIT 1 - KIRAN","BUSINESS UNIT 2 - SHIFALI"))</f>
        <v>BUSINESS UNIT 2 - SHIFALI</v>
      </c>
      <c r="B22" s="26">
        <f>IF('FY_25-26'!$C22&lt;&gt;"",ROW()-ROW($B$2),"")</f>
        <v>20</v>
      </c>
      <c r="C22" s="26" t="s">
        <v>60</v>
      </c>
      <c r="D22" s="26" t="s">
        <v>34</v>
      </c>
      <c r="E22" s="27" t="s">
        <v>38</v>
      </c>
      <c r="F22" s="26" t="s">
        <v>26</v>
      </c>
      <c r="G22" s="26" t="s">
        <v>27</v>
      </c>
      <c r="H22" s="26" t="s">
        <v>112</v>
      </c>
      <c r="I22" s="26" t="s">
        <v>28</v>
      </c>
      <c r="J22" s="26" t="s">
        <v>44</v>
      </c>
      <c r="K22" s="26">
        <v>3383248</v>
      </c>
      <c r="L22" s="26" t="s">
        <v>30</v>
      </c>
      <c r="M22" s="26" t="s">
        <v>114</v>
      </c>
      <c r="N22" s="27" t="s">
        <v>115</v>
      </c>
      <c r="O22" s="28">
        <v>45911</v>
      </c>
      <c r="P22" s="26">
        <v>200</v>
      </c>
      <c r="Q22" s="29" t="s">
        <v>31</v>
      </c>
      <c r="R22" s="30">
        <v>11</v>
      </c>
      <c r="S22" s="29" t="str">
        <f t="shared" si="2"/>
        <v>-</v>
      </c>
      <c r="T22" s="30">
        <f t="shared" si="3"/>
        <v>2200</v>
      </c>
      <c r="U22" s="34">
        <v>46019</v>
      </c>
      <c r="V22" s="31" t="s">
        <v>31</v>
      </c>
      <c r="W22" s="33"/>
      <c r="X22" s="32" t="s">
        <v>40</v>
      </c>
      <c r="Y22" s="33" t="s">
        <v>635</v>
      </c>
      <c r="Z22" s="33" t="s">
        <v>632</v>
      </c>
      <c r="AA22" s="33" t="s">
        <v>636</v>
      </c>
      <c r="AB22" s="33" t="s">
        <v>628</v>
      </c>
    </row>
    <row r="23" spans="1:28" ht="24">
      <c r="A23" s="12" t="str">
        <f>IF('FY_25-26'!$D23="","",IF(OR('FY_25-26'!$D23="BOOHOO LADIES",'FY_25-26'!$D23="PLT",'FY_25-26'!$D23="KM"),"BUSINESS UNIT 1 - KIRAN","BUSINESS UNIT 2 - SHIFALI"))</f>
        <v>BUSINESS UNIT 2 - SHIFALI</v>
      </c>
      <c r="B23" s="26">
        <f>IF('FY_25-26'!$C23&lt;&gt;"",ROW()-ROW($B$2),"")</f>
        <v>21</v>
      </c>
      <c r="C23" s="26" t="s">
        <v>60</v>
      </c>
      <c r="D23" s="26" t="s">
        <v>24</v>
      </c>
      <c r="E23" s="27" t="s">
        <v>25</v>
      </c>
      <c r="F23" s="26" t="s">
        <v>26</v>
      </c>
      <c r="G23" s="26" t="s">
        <v>27</v>
      </c>
      <c r="H23" s="26" t="s">
        <v>120</v>
      </c>
      <c r="I23" s="26" t="s">
        <v>28</v>
      </c>
      <c r="J23" s="26" t="s">
        <v>29</v>
      </c>
      <c r="K23" s="26">
        <v>3383587</v>
      </c>
      <c r="L23" s="26" t="s">
        <v>30</v>
      </c>
      <c r="M23" s="26" t="s">
        <v>121</v>
      </c>
      <c r="N23" s="27" t="s">
        <v>122</v>
      </c>
      <c r="O23" s="28">
        <v>45911</v>
      </c>
      <c r="P23" s="26">
        <v>145</v>
      </c>
      <c r="Q23" s="29" t="s">
        <v>31</v>
      </c>
      <c r="R23" s="30">
        <v>6.85</v>
      </c>
      <c r="S23" s="29" t="str">
        <f t="shared" si="2"/>
        <v>-</v>
      </c>
      <c r="T23" s="30">
        <f t="shared" si="3"/>
        <v>993.25</v>
      </c>
      <c r="U23" s="34">
        <v>45996</v>
      </c>
      <c r="V23" s="31" t="s">
        <v>31</v>
      </c>
      <c r="W23" s="33"/>
      <c r="X23" s="32" t="s">
        <v>32</v>
      </c>
      <c r="Y23" s="33" t="s">
        <v>634</v>
      </c>
      <c r="Z23" s="33" t="s">
        <v>632</v>
      </c>
      <c r="AA23" s="33" t="s">
        <v>636</v>
      </c>
      <c r="AB23" s="33" t="s">
        <v>628</v>
      </c>
    </row>
    <row r="24" spans="1:28" ht="24">
      <c r="A24" s="12" t="str">
        <f>IF('FY_25-26'!$D24="","",IF(OR('FY_25-26'!$D24="BOOHOO LADIES",'FY_25-26'!$D24="PLT",'FY_25-26'!$D24="KM"),"BUSINESS UNIT 1 - KIRAN","BUSINESS UNIT 2 - SHIFALI"))</f>
        <v>BUSINESS UNIT 2 - SHIFALI</v>
      </c>
      <c r="B24" s="26">
        <f>IF('FY_25-26'!$C24&lt;&gt;"",ROW()-ROW($B$2),"")</f>
        <v>22</v>
      </c>
      <c r="C24" s="26" t="s">
        <v>144</v>
      </c>
      <c r="D24" s="26" t="s">
        <v>24</v>
      </c>
      <c r="E24" s="27" t="s">
        <v>140</v>
      </c>
      <c r="F24" s="26" t="s">
        <v>26</v>
      </c>
      <c r="G24" s="26" t="s">
        <v>27</v>
      </c>
      <c r="H24" s="26" t="s">
        <v>153</v>
      </c>
      <c r="I24" s="26" t="s">
        <v>36</v>
      </c>
      <c r="J24" s="26" t="s">
        <v>154</v>
      </c>
      <c r="K24" s="26">
        <v>3390335</v>
      </c>
      <c r="L24" s="26" t="s">
        <v>30</v>
      </c>
      <c r="M24" s="26" t="s">
        <v>155</v>
      </c>
      <c r="N24" s="27" t="s">
        <v>156</v>
      </c>
      <c r="O24" s="28">
        <v>45932</v>
      </c>
      <c r="P24" s="26">
        <v>151</v>
      </c>
      <c r="Q24" s="29" t="s">
        <v>31</v>
      </c>
      <c r="R24" s="30">
        <v>7.75</v>
      </c>
      <c r="S24" s="29" t="str">
        <f t="shared" ref="S24:S43" si="4">IF($Q24="","",IF($Q24="-","-",$P24*$Q24))</f>
        <v>-</v>
      </c>
      <c r="T24" s="30">
        <f t="shared" ref="T24:T43" si="5">IF($R24="","",IF($R24="-","-",$P24*$R24))</f>
        <v>1170.25</v>
      </c>
      <c r="U24" s="34">
        <v>46020</v>
      </c>
      <c r="V24" s="31" t="s">
        <v>31</v>
      </c>
      <c r="W24" s="33"/>
      <c r="X24" s="32" t="s">
        <v>40</v>
      </c>
      <c r="Y24" s="33" t="s">
        <v>635</v>
      </c>
      <c r="Z24" s="33" t="s">
        <v>632</v>
      </c>
      <c r="AA24" s="33" t="s">
        <v>636</v>
      </c>
      <c r="AB24" s="33" t="s">
        <v>628</v>
      </c>
    </row>
    <row r="25" spans="1:28" ht="24">
      <c r="A25" s="12" t="str">
        <f>IF('FY_25-26'!$D25="","",IF(OR('FY_25-26'!$D25="BOOHOO LADIES",'FY_25-26'!$D25="PLT",'FY_25-26'!$D25="KM"),"BUSINESS UNIT 1 - KIRAN","BUSINESS UNIT 2 - SHIFALI"))</f>
        <v>BUSINESS UNIT 2 - SHIFALI</v>
      </c>
      <c r="B25" s="26">
        <f>IF('FY_25-26'!$C25&lt;&gt;"",ROW()-ROW($B$2),"")</f>
        <v>23</v>
      </c>
      <c r="C25" s="26" t="s">
        <v>60</v>
      </c>
      <c r="D25" s="26" t="s">
        <v>24</v>
      </c>
      <c r="E25" s="27" t="s">
        <v>157</v>
      </c>
      <c r="F25" s="26" t="s">
        <v>26</v>
      </c>
      <c r="G25" s="26" t="s">
        <v>27</v>
      </c>
      <c r="H25" s="26" t="s">
        <v>158</v>
      </c>
      <c r="I25" s="26" t="s">
        <v>36</v>
      </c>
      <c r="J25" s="26" t="s">
        <v>84</v>
      </c>
      <c r="K25" s="26">
        <v>3390286</v>
      </c>
      <c r="L25" s="26" t="s">
        <v>30</v>
      </c>
      <c r="M25" s="26" t="s">
        <v>85</v>
      </c>
      <c r="N25" s="27" t="s">
        <v>159</v>
      </c>
      <c r="O25" s="28">
        <v>45933</v>
      </c>
      <c r="P25" s="26">
        <v>100</v>
      </c>
      <c r="Q25" s="29" t="s">
        <v>31</v>
      </c>
      <c r="R25" s="30">
        <v>9.9</v>
      </c>
      <c r="S25" s="29" t="str">
        <f t="shared" si="4"/>
        <v>-</v>
      </c>
      <c r="T25" s="30">
        <f t="shared" si="5"/>
        <v>990</v>
      </c>
      <c r="U25" s="34">
        <v>46006</v>
      </c>
      <c r="V25" s="31">
        <v>46034</v>
      </c>
      <c r="W25" s="33"/>
      <c r="X25" s="32" t="s">
        <v>32</v>
      </c>
      <c r="Y25" s="33" t="s">
        <v>634</v>
      </c>
      <c r="Z25" s="33" t="s">
        <v>632</v>
      </c>
      <c r="AA25" s="33" t="s">
        <v>636</v>
      </c>
      <c r="AB25" s="33" t="s">
        <v>628</v>
      </c>
    </row>
    <row r="26" spans="1:28" ht="24">
      <c r="A26" s="12" t="str">
        <f>IF('FY_25-26'!$D26="","",IF(OR('FY_25-26'!$D26="BOOHOO LADIES",'FY_25-26'!$D26="PLT",'FY_25-26'!$D26="KM"),"BUSINESS UNIT 1 - KIRAN","BUSINESS UNIT 2 - SHIFALI"))</f>
        <v>BUSINESS UNIT 2 - SHIFALI</v>
      </c>
      <c r="B26" s="26">
        <f>IF('FY_25-26'!$C26&lt;&gt;"",ROW()-ROW($B$2),"")</f>
        <v>24</v>
      </c>
      <c r="C26" s="26" t="s">
        <v>60</v>
      </c>
      <c r="D26" s="26" t="s">
        <v>24</v>
      </c>
      <c r="E26" s="27" t="s">
        <v>157</v>
      </c>
      <c r="F26" s="26" t="s">
        <v>26</v>
      </c>
      <c r="G26" s="26" t="s">
        <v>27</v>
      </c>
      <c r="H26" s="26" t="s">
        <v>160</v>
      </c>
      <c r="I26" s="26" t="s">
        <v>36</v>
      </c>
      <c r="J26" s="26" t="s">
        <v>63</v>
      </c>
      <c r="K26" s="26">
        <v>3390271</v>
      </c>
      <c r="L26" s="26" t="s">
        <v>30</v>
      </c>
      <c r="M26" s="26" t="s">
        <v>136</v>
      </c>
      <c r="N26" s="27" t="s">
        <v>161</v>
      </c>
      <c r="O26" s="28">
        <v>45933</v>
      </c>
      <c r="P26" s="26">
        <v>100</v>
      </c>
      <c r="Q26" s="29" t="s">
        <v>31</v>
      </c>
      <c r="R26" s="30">
        <v>11.55</v>
      </c>
      <c r="S26" s="29" t="str">
        <f t="shared" si="4"/>
        <v>-</v>
      </c>
      <c r="T26" s="30">
        <f t="shared" si="5"/>
        <v>1155</v>
      </c>
      <c r="U26" s="34">
        <v>45999</v>
      </c>
      <c r="V26" s="31">
        <v>46011</v>
      </c>
      <c r="W26" s="33"/>
      <c r="X26" s="32" t="s">
        <v>40</v>
      </c>
      <c r="Y26" s="33" t="s">
        <v>635</v>
      </c>
      <c r="Z26" s="33" t="s">
        <v>632</v>
      </c>
      <c r="AA26" s="33" t="s">
        <v>636</v>
      </c>
      <c r="AB26" s="33" t="s">
        <v>628</v>
      </c>
    </row>
    <row r="27" spans="1:28" ht="30">
      <c r="A27" s="10" t="str">
        <f>IF('FY_25-26'!$D27="","",IF(OR('FY_25-26'!$D27="BOOHOO LADIES",'FY_25-26'!$D27="PLT",'FY_25-26'!$D27="KM"),"BUSINESS UNIT 1 - KIRAN","BUSINESS UNIT 2 - SHIFALI"))</f>
        <v>BUSINESS UNIT 2 - SHIFALI</v>
      </c>
      <c r="B27" s="26">
        <f>IF('FY_25-26'!$C27&lt;&gt;"",ROW()-ROW($B$2),"")</f>
        <v>25</v>
      </c>
      <c r="C27" s="26" t="s">
        <v>129</v>
      </c>
      <c r="D27" s="26" t="s">
        <v>24</v>
      </c>
      <c r="E27" s="27" t="s">
        <v>157</v>
      </c>
      <c r="F27" s="26" t="s">
        <v>26</v>
      </c>
      <c r="G27" s="26" t="s">
        <v>27</v>
      </c>
      <c r="H27" s="26" t="s">
        <v>162</v>
      </c>
      <c r="I27" s="26" t="s">
        <v>36</v>
      </c>
      <c r="J27" s="26" t="s">
        <v>133</v>
      </c>
      <c r="K27" s="26">
        <v>3390264</v>
      </c>
      <c r="L27" s="26" t="s">
        <v>30</v>
      </c>
      <c r="M27" s="26" t="s">
        <v>134</v>
      </c>
      <c r="N27" s="27" t="s">
        <v>163</v>
      </c>
      <c r="O27" s="28">
        <v>45933</v>
      </c>
      <c r="P27" s="26">
        <v>150</v>
      </c>
      <c r="Q27" s="29" t="s">
        <v>31</v>
      </c>
      <c r="R27" s="30">
        <v>6.25</v>
      </c>
      <c r="S27" s="29" t="str">
        <f t="shared" si="4"/>
        <v>-</v>
      </c>
      <c r="T27" s="30">
        <f t="shared" si="5"/>
        <v>937.5</v>
      </c>
      <c r="U27" s="34">
        <v>45992</v>
      </c>
      <c r="V27" s="31">
        <v>46006</v>
      </c>
      <c r="W27" s="33"/>
      <c r="X27" s="32" t="s">
        <v>40</v>
      </c>
      <c r="Y27" s="33" t="s">
        <v>635</v>
      </c>
      <c r="Z27" s="33" t="s">
        <v>632</v>
      </c>
      <c r="AA27" s="33" t="s">
        <v>636</v>
      </c>
      <c r="AB27" s="33" t="s">
        <v>628</v>
      </c>
    </row>
    <row r="28" spans="1:28" ht="30">
      <c r="A28" s="12" t="str">
        <f>IF('FY_25-26'!$D28="","",IF(OR('FY_25-26'!$D28="BOOHOO LADIES",'FY_25-26'!$D28="PLT",'FY_25-26'!$D28="KM"),"BUSINESS UNIT 1 - KIRAN","BUSINESS UNIT 2 - SHIFALI"))</f>
        <v>BUSINESS UNIT 2 - SHIFALI</v>
      </c>
      <c r="B28" s="26">
        <f>IF('FY_25-26'!$C28&lt;&gt;"",ROW()-ROW($B$2),"")</f>
        <v>26</v>
      </c>
      <c r="C28" s="26" t="s">
        <v>129</v>
      </c>
      <c r="D28" s="26" t="s">
        <v>24</v>
      </c>
      <c r="E28" s="27" t="s">
        <v>157</v>
      </c>
      <c r="F28" s="26" t="s">
        <v>26</v>
      </c>
      <c r="G28" s="26" t="s">
        <v>27</v>
      </c>
      <c r="H28" s="26" t="s">
        <v>164</v>
      </c>
      <c r="I28" s="26" t="s">
        <v>36</v>
      </c>
      <c r="J28" s="26" t="s">
        <v>126</v>
      </c>
      <c r="K28" s="26">
        <v>3390260</v>
      </c>
      <c r="L28" s="26" t="s">
        <v>30</v>
      </c>
      <c r="M28" s="26" t="s">
        <v>132</v>
      </c>
      <c r="N28" s="27" t="s">
        <v>165</v>
      </c>
      <c r="O28" s="28">
        <v>45933</v>
      </c>
      <c r="P28" s="26">
        <v>100</v>
      </c>
      <c r="Q28" s="29" t="s">
        <v>31</v>
      </c>
      <c r="R28" s="30">
        <v>6.75</v>
      </c>
      <c r="S28" s="29" t="str">
        <f t="shared" si="4"/>
        <v>-</v>
      </c>
      <c r="T28" s="30">
        <f t="shared" si="5"/>
        <v>675</v>
      </c>
      <c r="U28" s="34">
        <v>45992</v>
      </c>
      <c r="V28" s="31">
        <v>46006</v>
      </c>
      <c r="W28" s="33"/>
      <c r="X28" s="32" t="s">
        <v>40</v>
      </c>
      <c r="Y28" s="33" t="s">
        <v>635</v>
      </c>
      <c r="Z28" s="33" t="s">
        <v>632</v>
      </c>
      <c r="AA28" s="33" t="s">
        <v>636</v>
      </c>
      <c r="AB28" s="33" t="s">
        <v>628</v>
      </c>
    </row>
    <row r="29" spans="1:28" ht="24">
      <c r="A29" s="12" t="str">
        <f>IF('FY_25-26'!$D29="","",IF(OR('FY_25-26'!$D29="BOOHOO LADIES",'FY_25-26'!$D29="PLT",'FY_25-26'!$D29="KM"),"BUSINESS UNIT 1 - KIRAN","BUSINESS UNIT 2 - SHIFALI"))</f>
        <v>BUSINESS UNIT 2 - SHIFALI</v>
      </c>
      <c r="B29" s="26">
        <f>IF('FY_25-26'!$C29&lt;&gt;"",ROW()-ROW($B$2),"")</f>
        <v>27</v>
      </c>
      <c r="C29" s="26" t="s">
        <v>129</v>
      </c>
      <c r="D29" s="26" t="s">
        <v>24</v>
      </c>
      <c r="E29" s="27" t="s">
        <v>157</v>
      </c>
      <c r="F29" s="26" t="s">
        <v>26</v>
      </c>
      <c r="G29" s="26" t="s">
        <v>27</v>
      </c>
      <c r="H29" s="26" t="s">
        <v>166</v>
      </c>
      <c r="I29" s="26" t="s">
        <v>36</v>
      </c>
      <c r="J29" s="26" t="s">
        <v>126</v>
      </c>
      <c r="K29" s="26">
        <v>3390259</v>
      </c>
      <c r="L29" s="26" t="s">
        <v>30</v>
      </c>
      <c r="M29" s="26" t="s">
        <v>131</v>
      </c>
      <c r="N29" s="27" t="s">
        <v>167</v>
      </c>
      <c r="O29" s="28">
        <v>45933</v>
      </c>
      <c r="P29" s="26">
        <v>100</v>
      </c>
      <c r="Q29" s="29" t="s">
        <v>31</v>
      </c>
      <c r="R29" s="30">
        <v>4.9000000000000004</v>
      </c>
      <c r="S29" s="29" t="str">
        <f t="shared" si="4"/>
        <v>-</v>
      </c>
      <c r="T29" s="30">
        <f t="shared" si="5"/>
        <v>490.00000000000006</v>
      </c>
      <c r="U29" s="34">
        <v>45992</v>
      </c>
      <c r="V29" s="31">
        <v>46006</v>
      </c>
      <c r="W29" s="33"/>
      <c r="X29" s="32" t="s">
        <v>40</v>
      </c>
      <c r="Y29" s="33" t="s">
        <v>635</v>
      </c>
      <c r="Z29" s="33" t="s">
        <v>632</v>
      </c>
      <c r="AA29" s="33" t="s">
        <v>636</v>
      </c>
      <c r="AB29" s="33" t="s">
        <v>628</v>
      </c>
    </row>
    <row r="30" spans="1:28" ht="24">
      <c r="A30" s="12" t="str">
        <f>IF('FY_25-26'!$D30="","",IF(OR('FY_25-26'!$D30="BOOHOO LADIES",'FY_25-26'!$D30="PLT",'FY_25-26'!$D30="KM"),"BUSINESS UNIT 1 - KIRAN","BUSINESS UNIT 2 - SHIFALI"))</f>
        <v>BUSINESS UNIT 2 - SHIFALI</v>
      </c>
      <c r="B30" s="26">
        <f>IF('FY_25-26'!$C30&lt;&gt;"",ROW()-ROW($B$2),"")</f>
        <v>28</v>
      </c>
      <c r="C30" s="26" t="s">
        <v>129</v>
      </c>
      <c r="D30" s="26" t="s">
        <v>24</v>
      </c>
      <c r="E30" s="27" t="s">
        <v>157</v>
      </c>
      <c r="F30" s="26" t="s">
        <v>26</v>
      </c>
      <c r="G30" s="26" t="s">
        <v>27</v>
      </c>
      <c r="H30" s="26" t="s">
        <v>168</v>
      </c>
      <c r="I30" s="26" t="s">
        <v>36</v>
      </c>
      <c r="J30" s="26" t="s">
        <v>126</v>
      </c>
      <c r="K30" s="26">
        <v>3390255</v>
      </c>
      <c r="L30" s="26" t="s">
        <v>30</v>
      </c>
      <c r="M30" s="26" t="s">
        <v>130</v>
      </c>
      <c r="N30" s="27" t="s">
        <v>169</v>
      </c>
      <c r="O30" s="28">
        <v>45933</v>
      </c>
      <c r="P30" s="26">
        <v>100</v>
      </c>
      <c r="Q30" s="29" t="s">
        <v>31</v>
      </c>
      <c r="R30" s="30">
        <v>6.5</v>
      </c>
      <c r="S30" s="29" t="str">
        <f t="shared" si="4"/>
        <v>-</v>
      </c>
      <c r="T30" s="30">
        <f t="shared" si="5"/>
        <v>650</v>
      </c>
      <c r="U30" s="34">
        <v>45992</v>
      </c>
      <c r="V30" s="31">
        <v>46006</v>
      </c>
      <c r="W30" s="33"/>
      <c r="X30" s="32" t="s">
        <v>40</v>
      </c>
      <c r="Y30" s="33" t="s">
        <v>635</v>
      </c>
      <c r="Z30" s="33" t="s">
        <v>632</v>
      </c>
      <c r="AA30" s="33" t="s">
        <v>636</v>
      </c>
      <c r="AB30" s="33" t="s">
        <v>628</v>
      </c>
    </row>
    <row r="31" spans="1:28" ht="30">
      <c r="A31" s="10" t="str">
        <f>IF('FY_25-26'!$D31="","",IF(OR('FY_25-26'!$D31="BOOHOO LADIES",'FY_25-26'!$D31="PLT",'FY_25-26'!$D31="KM"),"BUSINESS UNIT 1 - KIRAN","BUSINESS UNIT 2 - SHIFALI"))</f>
        <v>BUSINESS UNIT 2 - SHIFALI</v>
      </c>
      <c r="B31" s="26">
        <f>IF('FY_25-26'!$C31&lt;&gt;"",ROW()-ROW($B$2),"")</f>
        <v>29</v>
      </c>
      <c r="C31" s="26" t="s">
        <v>170</v>
      </c>
      <c r="D31" s="26" t="s">
        <v>24</v>
      </c>
      <c r="E31" s="27" t="s">
        <v>61</v>
      </c>
      <c r="F31" s="26" t="s">
        <v>26</v>
      </c>
      <c r="G31" s="26" t="s">
        <v>27</v>
      </c>
      <c r="H31" s="26" t="s">
        <v>171</v>
      </c>
      <c r="I31" s="26" t="s">
        <v>36</v>
      </c>
      <c r="J31" s="26" t="s">
        <v>152</v>
      </c>
      <c r="K31" s="26">
        <v>3391588</v>
      </c>
      <c r="L31" s="26" t="s">
        <v>30</v>
      </c>
      <c r="M31" s="26" t="s">
        <v>172</v>
      </c>
      <c r="N31" s="27" t="s">
        <v>173</v>
      </c>
      <c r="O31" s="28">
        <v>45938</v>
      </c>
      <c r="P31" s="26">
        <v>81</v>
      </c>
      <c r="Q31" s="29">
        <v>52.75</v>
      </c>
      <c r="R31" s="30" t="s">
        <v>31</v>
      </c>
      <c r="S31" s="29">
        <f t="shared" si="4"/>
        <v>4272.75</v>
      </c>
      <c r="T31" s="30" t="str">
        <f t="shared" si="5"/>
        <v>-</v>
      </c>
      <c r="U31" s="34">
        <v>46041</v>
      </c>
      <c r="V31" s="31" t="s">
        <v>31</v>
      </c>
      <c r="W31" s="33"/>
      <c r="X31" s="32" t="s">
        <v>40</v>
      </c>
      <c r="Y31" s="33" t="s">
        <v>635</v>
      </c>
      <c r="Z31" s="33" t="s">
        <v>632</v>
      </c>
      <c r="AA31" s="33" t="s">
        <v>636</v>
      </c>
      <c r="AB31" s="33" t="s">
        <v>628</v>
      </c>
    </row>
    <row r="32" spans="1:28" ht="30">
      <c r="A32" s="12" t="str">
        <f>IF('FY_25-26'!$D32="","",IF(OR('FY_25-26'!$D32="BOOHOO LADIES",'FY_25-26'!$D32="PLT",'FY_25-26'!$D32="KM"),"BUSINESS UNIT 1 - KIRAN","BUSINESS UNIT 2 - SHIFALI"))</f>
        <v>BUSINESS UNIT 2 - SHIFALI</v>
      </c>
      <c r="B32" s="26">
        <f>IF('FY_25-26'!$C32&lt;&gt;"",ROW()-ROW($B$2),"")</f>
        <v>30</v>
      </c>
      <c r="C32" s="26" t="s">
        <v>170</v>
      </c>
      <c r="D32" s="26" t="s">
        <v>24</v>
      </c>
      <c r="E32" s="27" t="s">
        <v>61</v>
      </c>
      <c r="F32" s="26" t="s">
        <v>26</v>
      </c>
      <c r="G32" s="26" t="s">
        <v>27</v>
      </c>
      <c r="H32" s="26" t="s">
        <v>174</v>
      </c>
      <c r="I32" s="26" t="s">
        <v>36</v>
      </c>
      <c r="J32" s="26" t="s">
        <v>152</v>
      </c>
      <c r="K32" s="26">
        <v>3391589</v>
      </c>
      <c r="L32" s="26" t="s">
        <v>30</v>
      </c>
      <c r="M32" s="26" t="s">
        <v>175</v>
      </c>
      <c r="N32" s="27" t="s">
        <v>176</v>
      </c>
      <c r="O32" s="28">
        <v>45938</v>
      </c>
      <c r="P32" s="26">
        <v>81</v>
      </c>
      <c r="Q32" s="29">
        <v>48.75</v>
      </c>
      <c r="R32" s="30" t="s">
        <v>31</v>
      </c>
      <c r="S32" s="29">
        <f t="shared" si="4"/>
        <v>3948.75</v>
      </c>
      <c r="T32" s="30" t="str">
        <f t="shared" si="5"/>
        <v>-</v>
      </c>
      <c r="U32" s="34">
        <v>46041</v>
      </c>
      <c r="V32" s="31" t="s">
        <v>31</v>
      </c>
      <c r="W32" s="33"/>
      <c r="X32" s="32" t="s">
        <v>40</v>
      </c>
      <c r="Y32" s="33" t="s">
        <v>635</v>
      </c>
      <c r="Z32" s="33" t="s">
        <v>632</v>
      </c>
      <c r="AA32" s="33" t="s">
        <v>636</v>
      </c>
      <c r="AB32" s="33" t="s">
        <v>628</v>
      </c>
    </row>
    <row r="33" spans="1:28" ht="30">
      <c r="A33" s="12" t="str">
        <f>IF('FY_25-26'!$D33="","",IF(OR('FY_25-26'!$D33="BOOHOO LADIES",'FY_25-26'!$D33="PLT",'FY_25-26'!$D33="KM"),"BUSINESS UNIT 1 - KIRAN","BUSINESS UNIT 2 - SHIFALI"))</f>
        <v>BUSINESS UNIT 2 - SHIFALI</v>
      </c>
      <c r="B33" s="26">
        <f>IF('FY_25-26'!$C33&lt;&gt;"",ROW()-ROW($B$2),"")</f>
        <v>31</v>
      </c>
      <c r="C33" s="26" t="s">
        <v>170</v>
      </c>
      <c r="D33" s="26" t="s">
        <v>24</v>
      </c>
      <c r="E33" s="27" t="s">
        <v>61</v>
      </c>
      <c r="F33" s="26" t="s">
        <v>26</v>
      </c>
      <c r="G33" s="26" t="s">
        <v>27</v>
      </c>
      <c r="H33" s="26" t="s">
        <v>177</v>
      </c>
      <c r="I33" s="26" t="s">
        <v>36</v>
      </c>
      <c r="J33" s="26" t="s">
        <v>178</v>
      </c>
      <c r="K33" s="26">
        <v>3397565</v>
      </c>
      <c r="L33" s="26" t="s">
        <v>30</v>
      </c>
      <c r="M33" s="26" t="s">
        <v>179</v>
      </c>
      <c r="N33" s="27" t="s">
        <v>180</v>
      </c>
      <c r="O33" s="28">
        <v>45933</v>
      </c>
      <c r="P33" s="26">
        <v>100</v>
      </c>
      <c r="Q33" s="29">
        <v>47</v>
      </c>
      <c r="R33" s="30" t="s">
        <v>31</v>
      </c>
      <c r="S33" s="29">
        <f t="shared" si="4"/>
        <v>4700</v>
      </c>
      <c r="T33" s="30" t="str">
        <f t="shared" si="5"/>
        <v>-</v>
      </c>
      <c r="U33" s="34">
        <v>45992</v>
      </c>
      <c r="V33" s="31">
        <v>46006</v>
      </c>
      <c r="W33" s="33"/>
      <c r="X33" s="32" t="s">
        <v>40</v>
      </c>
      <c r="Y33" s="33" t="s">
        <v>635</v>
      </c>
      <c r="Z33" s="33" t="s">
        <v>632</v>
      </c>
      <c r="AA33" s="33" t="s">
        <v>636</v>
      </c>
      <c r="AB33" s="33" t="s">
        <v>628</v>
      </c>
    </row>
    <row r="34" spans="1:28" ht="24">
      <c r="A34" s="12" t="str">
        <f>IF('FY_25-26'!$D34="","",IF(OR('FY_25-26'!$D34="BOOHOO LADIES",'FY_25-26'!$D34="PLT",'FY_25-26'!$D34="KM"),"BUSINESS UNIT 1 - KIRAN","BUSINESS UNIT 2 - SHIFALI"))</f>
        <v>BUSINESS UNIT 2 - SHIFALI</v>
      </c>
      <c r="B34" s="26">
        <f>IF('FY_25-26'!$C34&lt;&gt;"",ROW()-ROW($B$2),"")</f>
        <v>32</v>
      </c>
      <c r="C34" s="26" t="s">
        <v>37</v>
      </c>
      <c r="D34" s="26" t="s">
        <v>116</v>
      </c>
      <c r="E34" s="27" t="s">
        <v>117</v>
      </c>
      <c r="F34" s="26" t="s">
        <v>26</v>
      </c>
      <c r="G34" s="26" t="s">
        <v>27</v>
      </c>
      <c r="H34" s="26" t="s">
        <v>181</v>
      </c>
      <c r="I34" s="26" t="s">
        <v>36</v>
      </c>
      <c r="J34" s="26" t="s">
        <v>43</v>
      </c>
      <c r="K34" s="26">
        <v>3391190</v>
      </c>
      <c r="L34" s="26" t="s">
        <v>30</v>
      </c>
      <c r="M34" s="26" t="s">
        <v>182</v>
      </c>
      <c r="N34" s="27" t="s">
        <v>183</v>
      </c>
      <c r="O34" s="28">
        <v>45937</v>
      </c>
      <c r="P34" s="26">
        <v>150</v>
      </c>
      <c r="Q34" s="29" t="s">
        <v>31</v>
      </c>
      <c r="R34" s="30">
        <v>7.95</v>
      </c>
      <c r="S34" s="29" t="str">
        <f t="shared" si="4"/>
        <v>-</v>
      </c>
      <c r="T34" s="30">
        <f t="shared" si="5"/>
        <v>1192.5</v>
      </c>
      <c r="U34" s="34">
        <v>46000</v>
      </c>
      <c r="V34" s="31" t="s">
        <v>31</v>
      </c>
      <c r="W34" s="33"/>
      <c r="X34" s="32" t="s">
        <v>32</v>
      </c>
      <c r="Y34" s="33" t="s">
        <v>634</v>
      </c>
      <c r="Z34" s="33" t="s">
        <v>632</v>
      </c>
      <c r="AA34" s="33" t="s">
        <v>636</v>
      </c>
      <c r="AB34" s="33" t="s">
        <v>628</v>
      </c>
    </row>
    <row r="35" spans="1:28" ht="24">
      <c r="A35" s="12" t="str">
        <f>IF('FY_25-26'!$D35="","",IF(OR('FY_25-26'!$D35="BOOHOO LADIES",'FY_25-26'!$D35="PLT",'FY_25-26'!$D35="KM"),"BUSINESS UNIT 1 - KIRAN","BUSINESS UNIT 2 - SHIFALI"))</f>
        <v>BUSINESS UNIT 2 - SHIFALI</v>
      </c>
      <c r="B35" s="26">
        <f>IF('FY_25-26'!$C35&lt;&gt;"",ROW()-ROW($B$2),"")</f>
        <v>33</v>
      </c>
      <c r="C35" s="26" t="s">
        <v>37</v>
      </c>
      <c r="D35" s="26" t="s">
        <v>116</v>
      </c>
      <c r="E35" s="27" t="s">
        <v>117</v>
      </c>
      <c r="F35" s="26" t="s">
        <v>26</v>
      </c>
      <c r="G35" s="26" t="s">
        <v>27</v>
      </c>
      <c r="H35" s="26" t="s">
        <v>184</v>
      </c>
      <c r="I35" s="26" t="s">
        <v>36</v>
      </c>
      <c r="J35" s="26" t="s">
        <v>29</v>
      </c>
      <c r="K35" s="26">
        <v>3391189</v>
      </c>
      <c r="L35" s="26" t="s">
        <v>30</v>
      </c>
      <c r="M35" s="26" t="s">
        <v>185</v>
      </c>
      <c r="N35" s="27" t="s">
        <v>186</v>
      </c>
      <c r="O35" s="28">
        <v>45937</v>
      </c>
      <c r="P35" s="26">
        <v>180</v>
      </c>
      <c r="Q35" s="29" t="s">
        <v>31</v>
      </c>
      <c r="R35" s="30">
        <v>7.55</v>
      </c>
      <c r="S35" s="29" t="str">
        <f t="shared" si="4"/>
        <v>-</v>
      </c>
      <c r="T35" s="30">
        <f t="shared" si="5"/>
        <v>1359</v>
      </c>
      <c r="U35" s="34">
        <v>46000</v>
      </c>
      <c r="V35" s="31" t="s">
        <v>31</v>
      </c>
      <c r="W35" s="33"/>
      <c r="X35" s="32" t="s">
        <v>32</v>
      </c>
      <c r="Y35" s="33" t="s">
        <v>634</v>
      </c>
      <c r="Z35" s="33" t="s">
        <v>632</v>
      </c>
      <c r="AA35" s="33" t="s">
        <v>636</v>
      </c>
      <c r="AB35" s="33" t="s">
        <v>628</v>
      </c>
    </row>
    <row r="36" spans="1:28" ht="30">
      <c r="A36" s="12" t="str">
        <f>IF('FY_25-26'!$D36="","",IF(OR('FY_25-26'!$D36="BOOHOO LADIES",'FY_25-26'!$D36="PLT",'FY_25-26'!$D36="KM"),"BUSINESS UNIT 1 - KIRAN","BUSINESS UNIT 2 - SHIFALI"))</f>
        <v>BUSINESS UNIT 2 - SHIFALI</v>
      </c>
      <c r="B36" s="26">
        <f>IF('FY_25-26'!$C36&lt;&gt;"",ROW()-ROW($B$2),"")</f>
        <v>34</v>
      </c>
      <c r="C36" s="26" t="s">
        <v>37</v>
      </c>
      <c r="D36" s="26" t="s">
        <v>116</v>
      </c>
      <c r="E36" s="27" t="s">
        <v>117</v>
      </c>
      <c r="F36" s="26" t="s">
        <v>26</v>
      </c>
      <c r="G36" s="26" t="s">
        <v>27</v>
      </c>
      <c r="H36" s="26" t="s">
        <v>187</v>
      </c>
      <c r="I36" s="26" t="s">
        <v>36</v>
      </c>
      <c r="J36" s="26" t="s">
        <v>63</v>
      </c>
      <c r="K36" s="26">
        <v>3391188</v>
      </c>
      <c r="L36" s="26" t="s">
        <v>30</v>
      </c>
      <c r="M36" s="26" t="s">
        <v>188</v>
      </c>
      <c r="N36" s="27" t="s">
        <v>189</v>
      </c>
      <c r="O36" s="28">
        <v>45937</v>
      </c>
      <c r="P36" s="26">
        <v>180</v>
      </c>
      <c r="Q36" s="29" t="s">
        <v>31</v>
      </c>
      <c r="R36" s="30">
        <v>6.45</v>
      </c>
      <c r="S36" s="29" t="str">
        <f t="shared" si="4"/>
        <v>-</v>
      </c>
      <c r="T36" s="30">
        <f t="shared" si="5"/>
        <v>1161</v>
      </c>
      <c r="U36" s="34">
        <v>46000</v>
      </c>
      <c r="V36" s="31" t="s">
        <v>31</v>
      </c>
      <c r="W36" s="33"/>
      <c r="X36" s="32" t="s">
        <v>32</v>
      </c>
      <c r="Y36" s="33" t="s">
        <v>634</v>
      </c>
      <c r="Z36" s="33" t="s">
        <v>632</v>
      </c>
      <c r="AA36" s="33" t="s">
        <v>636</v>
      </c>
      <c r="AB36" s="33" t="s">
        <v>628</v>
      </c>
    </row>
    <row r="37" spans="1:28" ht="24">
      <c r="A37" s="12" t="str">
        <f>IF('FY_25-26'!$D37="","",IF(OR('FY_25-26'!$D37="BOOHOO LADIES",'FY_25-26'!$D37="PLT",'FY_25-26'!$D37="KM"),"BUSINESS UNIT 1 - KIRAN","BUSINESS UNIT 2 - SHIFALI"))</f>
        <v>BUSINESS UNIT 2 - SHIFALI</v>
      </c>
      <c r="B37" s="26">
        <f>IF('FY_25-26'!$C37&lt;&gt;"",ROW()-ROW($B$2),"")</f>
        <v>35</v>
      </c>
      <c r="C37" s="26" t="s">
        <v>33</v>
      </c>
      <c r="D37" s="26" t="s">
        <v>34</v>
      </c>
      <c r="E37" s="27" t="s">
        <v>147</v>
      </c>
      <c r="F37" s="26" t="s">
        <v>26</v>
      </c>
      <c r="G37" s="26" t="s">
        <v>27</v>
      </c>
      <c r="H37" s="26" t="s">
        <v>190</v>
      </c>
      <c r="I37" s="26" t="s">
        <v>36</v>
      </c>
      <c r="J37" s="26" t="s">
        <v>41</v>
      </c>
      <c r="K37" s="26">
        <v>3391142</v>
      </c>
      <c r="L37" s="26" t="s">
        <v>30</v>
      </c>
      <c r="M37" s="26" t="s">
        <v>191</v>
      </c>
      <c r="N37" s="27" t="s">
        <v>192</v>
      </c>
      <c r="O37" s="28">
        <v>45937</v>
      </c>
      <c r="P37" s="26">
        <v>151</v>
      </c>
      <c r="Q37" s="29" t="s">
        <v>31</v>
      </c>
      <c r="R37" s="30">
        <v>34</v>
      </c>
      <c r="S37" s="29" t="str">
        <f t="shared" si="4"/>
        <v>-</v>
      </c>
      <c r="T37" s="30">
        <f t="shared" si="5"/>
        <v>5134</v>
      </c>
      <c r="U37" s="34">
        <v>46020</v>
      </c>
      <c r="V37" s="31" t="s">
        <v>31</v>
      </c>
      <c r="W37" s="33"/>
      <c r="X37" s="32" t="s">
        <v>32</v>
      </c>
      <c r="Y37" s="33" t="s">
        <v>634</v>
      </c>
      <c r="Z37" s="33" t="s">
        <v>632</v>
      </c>
      <c r="AA37" s="33" t="s">
        <v>636</v>
      </c>
      <c r="AB37" s="33" t="s">
        <v>628</v>
      </c>
    </row>
    <row r="38" spans="1:28" ht="24">
      <c r="A38" s="12" t="str">
        <f>IF('FY_25-26'!$D38="","",IF(OR('FY_25-26'!$D38="BOOHOO LADIES",'FY_25-26'!$D38="PLT",'FY_25-26'!$D38="KM"),"BUSINESS UNIT 1 - KIRAN","BUSINESS UNIT 2 - SHIFALI"))</f>
        <v>BUSINESS UNIT 2 - SHIFALI</v>
      </c>
      <c r="B38" s="26">
        <f>IF('FY_25-26'!$C38&lt;&gt;"",ROW()-ROW($B$2),"")</f>
        <v>36</v>
      </c>
      <c r="C38" s="26" t="s">
        <v>33</v>
      </c>
      <c r="D38" s="26" t="s">
        <v>34</v>
      </c>
      <c r="E38" s="27" t="s">
        <v>147</v>
      </c>
      <c r="F38" s="26" t="s">
        <v>26</v>
      </c>
      <c r="G38" s="26" t="s">
        <v>27</v>
      </c>
      <c r="H38" s="26" t="s">
        <v>193</v>
      </c>
      <c r="I38" s="26" t="s">
        <v>36</v>
      </c>
      <c r="J38" s="26" t="s">
        <v>84</v>
      </c>
      <c r="K38" s="26">
        <v>3391141</v>
      </c>
      <c r="L38" s="26" t="s">
        <v>30</v>
      </c>
      <c r="M38" s="26" t="s">
        <v>191</v>
      </c>
      <c r="N38" s="27" t="s">
        <v>194</v>
      </c>
      <c r="O38" s="28">
        <v>45937</v>
      </c>
      <c r="P38" s="26">
        <v>151</v>
      </c>
      <c r="Q38" s="29" t="s">
        <v>31</v>
      </c>
      <c r="R38" s="30">
        <v>34</v>
      </c>
      <c r="S38" s="29" t="str">
        <f t="shared" si="4"/>
        <v>-</v>
      </c>
      <c r="T38" s="30">
        <f t="shared" si="5"/>
        <v>5134</v>
      </c>
      <c r="U38" s="34">
        <v>45992</v>
      </c>
      <c r="V38" s="31" t="s">
        <v>31</v>
      </c>
      <c r="W38" s="33"/>
      <c r="X38" s="32" t="s">
        <v>32</v>
      </c>
      <c r="Y38" s="33" t="s">
        <v>634</v>
      </c>
      <c r="Z38" s="33" t="s">
        <v>632</v>
      </c>
      <c r="AA38" s="33" t="s">
        <v>636</v>
      </c>
      <c r="AB38" s="33" t="s">
        <v>628</v>
      </c>
    </row>
    <row r="39" spans="1:28" ht="24">
      <c r="A39" s="12" t="str">
        <f>IF('FY_25-26'!$D39="","",IF(OR('FY_25-26'!$D39="BOOHOO LADIES",'FY_25-26'!$D39="PLT",'FY_25-26'!$D39="KM"),"BUSINESS UNIT 1 - KIRAN","BUSINESS UNIT 2 - SHIFALI"))</f>
        <v>BUSINESS UNIT 2 - SHIFALI</v>
      </c>
      <c r="B39" s="26">
        <f>IF('FY_25-26'!$C39&lt;&gt;"",ROW()-ROW($B$2),"")</f>
        <v>37</v>
      </c>
      <c r="C39" s="26" t="s">
        <v>129</v>
      </c>
      <c r="D39" s="26" t="s">
        <v>24</v>
      </c>
      <c r="E39" s="27" t="s">
        <v>157</v>
      </c>
      <c r="F39" s="26" t="s">
        <v>26</v>
      </c>
      <c r="G39" s="26" t="s">
        <v>27</v>
      </c>
      <c r="H39" s="26" t="s">
        <v>195</v>
      </c>
      <c r="I39" s="26" t="s">
        <v>36</v>
      </c>
      <c r="J39" s="26" t="s">
        <v>196</v>
      </c>
      <c r="K39" s="26">
        <v>3391084</v>
      </c>
      <c r="L39" s="26" t="s">
        <v>30</v>
      </c>
      <c r="M39" s="26" t="s">
        <v>197</v>
      </c>
      <c r="N39" s="27" t="s">
        <v>198</v>
      </c>
      <c r="O39" s="28">
        <v>45937</v>
      </c>
      <c r="P39" s="26">
        <v>252</v>
      </c>
      <c r="Q39" s="29" t="s">
        <v>31</v>
      </c>
      <c r="R39" s="30">
        <v>5.15</v>
      </c>
      <c r="S39" s="29" t="str">
        <f t="shared" si="4"/>
        <v>-</v>
      </c>
      <c r="T39" s="30">
        <f t="shared" si="5"/>
        <v>1297.8000000000002</v>
      </c>
      <c r="U39" s="34">
        <v>45945</v>
      </c>
      <c r="V39" s="31" t="s">
        <v>31</v>
      </c>
      <c r="W39" s="33"/>
      <c r="X39" s="32" t="s">
        <v>40</v>
      </c>
      <c r="Y39" s="33" t="s">
        <v>635</v>
      </c>
      <c r="Z39" s="33" t="s">
        <v>632</v>
      </c>
      <c r="AA39" s="33" t="s">
        <v>636</v>
      </c>
      <c r="AB39" s="33" t="s">
        <v>628</v>
      </c>
    </row>
    <row r="40" spans="1:28" ht="24">
      <c r="A40" s="12" t="str">
        <f>IF('FY_25-26'!$D40="","",IF(OR('FY_25-26'!$D40="BOOHOO LADIES",'FY_25-26'!$D40="PLT",'FY_25-26'!$D40="KM"),"BUSINESS UNIT 1 - KIRAN","BUSINESS UNIT 2 - SHIFALI"))</f>
        <v>BUSINESS UNIT 2 - SHIFALI</v>
      </c>
      <c r="B40" s="26">
        <f>IF('FY_25-26'!$C40&lt;&gt;"",ROW()-ROW($B$2),"")</f>
        <v>38</v>
      </c>
      <c r="C40" s="26" t="s">
        <v>129</v>
      </c>
      <c r="D40" s="26" t="s">
        <v>24</v>
      </c>
      <c r="E40" s="27" t="s">
        <v>157</v>
      </c>
      <c r="F40" s="26" t="s">
        <v>26</v>
      </c>
      <c r="G40" s="26" t="s">
        <v>27</v>
      </c>
      <c r="H40" s="26" t="s">
        <v>199</v>
      </c>
      <c r="I40" s="26" t="s">
        <v>36</v>
      </c>
      <c r="J40" s="26" t="s">
        <v>196</v>
      </c>
      <c r="K40" s="26">
        <v>3391077</v>
      </c>
      <c r="L40" s="26" t="s">
        <v>30</v>
      </c>
      <c r="M40" s="26" t="s">
        <v>200</v>
      </c>
      <c r="N40" s="27" t="s">
        <v>201</v>
      </c>
      <c r="O40" s="28">
        <v>45937</v>
      </c>
      <c r="P40" s="26">
        <v>351</v>
      </c>
      <c r="Q40" s="29" t="s">
        <v>31</v>
      </c>
      <c r="R40" s="30">
        <v>6.9</v>
      </c>
      <c r="S40" s="29" t="str">
        <f t="shared" si="4"/>
        <v>-</v>
      </c>
      <c r="T40" s="30">
        <f t="shared" si="5"/>
        <v>2421.9</v>
      </c>
      <c r="U40" s="34">
        <v>45945</v>
      </c>
      <c r="V40" s="31" t="s">
        <v>31</v>
      </c>
      <c r="W40" s="33"/>
      <c r="X40" s="32" t="s">
        <v>40</v>
      </c>
      <c r="Y40" s="33" t="s">
        <v>635</v>
      </c>
      <c r="Z40" s="33" t="s">
        <v>632</v>
      </c>
      <c r="AA40" s="33" t="s">
        <v>636</v>
      </c>
      <c r="AB40" s="33" t="s">
        <v>628</v>
      </c>
    </row>
    <row r="41" spans="1:28" ht="24">
      <c r="A41" s="12" t="str">
        <f>IF('FY_25-26'!$D41="","",IF(OR('FY_25-26'!$D41="BOOHOO LADIES",'FY_25-26'!$D41="PLT",'FY_25-26'!$D41="KM"),"BUSINESS UNIT 1 - KIRAN","BUSINESS UNIT 2 - SHIFALI"))</f>
        <v>BUSINESS UNIT 2 - SHIFALI</v>
      </c>
      <c r="B41" s="26">
        <f>IF('FY_25-26'!$C41&lt;&gt;"",ROW()-ROW($B$2),"")</f>
        <v>39</v>
      </c>
      <c r="C41" s="26" t="s">
        <v>33</v>
      </c>
      <c r="D41" s="26" t="s">
        <v>145</v>
      </c>
      <c r="E41" s="27" t="s">
        <v>148</v>
      </c>
      <c r="F41" s="26" t="s">
        <v>26</v>
      </c>
      <c r="G41" s="26" t="s">
        <v>27</v>
      </c>
      <c r="H41" s="26" t="s">
        <v>202</v>
      </c>
      <c r="I41" s="26" t="s">
        <v>28</v>
      </c>
      <c r="J41" s="26" t="s">
        <v>196</v>
      </c>
      <c r="K41" s="26">
        <v>3390977</v>
      </c>
      <c r="L41" s="26" t="s">
        <v>30</v>
      </c>
      <c r="M41" s="26" t="s">
        <v>203</v>
      </c>
      <c r="N41" s="27" t="s">
        <v>204</v>
      </c>
      <c r="O41" s="28">
        <v>45937</v>
      </c>
      <c r="P41" s="26">
        <v>300</v>
      </c>
      <c r="Q41" s="29" t="s">
        <v>31</v>
      </c>
      <c r="R41" s="30">
        <v>31.5</v>
      </c>
      <c r="S41" s="29" t="str">
        <f t="shared" si="4"/>
        <v>-</v>
      </c>
      <c r="T41" s="30">
        <f t="shared" si="5"/>
        <v>9450</v>
      </c>
      <c r="U41" s="34">
        <v>45999</v>
      </c>
      <c r="V41" s="31">
        <v>46048</v>
      </c>
      <c r="W41" s="33"/>
      <c r="X41" s="32" t="s">
        <v>32</v>
      </c>
      <c r="Y41" s="33" t="s">
        <v>634</v>
      </c>
      <c r="Z41" s="33" t="s">
        <v>632</v>
      </c>
      <c r="AA41" s="33" t="s">
        <v>636</v>
      </c>
      <c r="AB41" s="33" t="s">
        <v>628</v>
      </c>
    </row>
    <row r="42" spans="1:28" ht="24">
      <c r="A42" s="12" t="str">
        <f>IF('FY_25-26'!$D42="","",IF(OR('FY_25-26'!$D42="BOOHOO LADIES",'FY_25-26'!$D42="PLT",'FY_25-26'!$D42="KM"),"BUSINESS UNIT 1 - KIRAN","BUSINESS UNIT 2 - SHIFALI"))</f>
        <v>BUSINESS UNIT 2 - SHIFALI</v>
      </c>
      <c r="B42" s="26">
        <f>IF('FY_25-26'!$C42&lt;&gt;"",ROW()-ROW($B$2),"")</f>
        <v>40</v>
      </c>
      <c r="C42" s="26" t="s">
        <v>33</v>
      </c>
      <c r="D42" s="26" t="s">
        <v>145</v>
      </c>
      <c r="E42" s="27" t="s">
        <v>148</v>
      </c>
      <c r="F42" s="26" t="s">
        <v>26</v>
      </c>
      <c r="G42" s="26" t="s">
        <v>27</v>
      </c>
      <c r="H42" s="26" t="s">
        <v>205</v>
      </c>
      <c r="I42" s="26" t="s">
        <v>28</v>
      </c>
      <c r="J42" s="26" t="s">
        <v>206</v>
      </c>
      <c r="K42" s="26">
        <v>3390978</v>
      </c>
      <c r="L42" s="26" t="s">
        <v>30</v>
      </c>
      <c r="M42" s="26" t="s">
        <v>207</v>
      </c>
      <c r="N42" s="27" t="s">
        <v>208</v>
      </c>
      <c r="O42" s="28">
        <v>45937</v>
      </c>
      <c r="P42" s="26">
        <v>252</v>
      </c>
      <c r="Q42" s="29" t="s">
        <v>31</v>
      </c>
      <c r="R42" s="30">
        <v>31.5</v>
      </c>
      <c r="S42" s="29" t="str">
        <f t="shared" si="4"/>
        <v>-</v>
      </c>
      <c r="T42" s="30">
        <f t="shared" si="5"/>
        <v>7938</v>
      </c>
      <c r="U42" s="34">
        <v>45999</v>
      </c>
      <c r="V42" s="31">
        <v>46020</v>
      </c>
      <c r="W42" s="33"/>
      <c r="X42" s="32" t="s">
        <v>32</v>
      </c>
      <c r="Y42" s="33" t="s">
        <v>634</v>
      </c>
      <c r="Z42" s="33" t="s">
        <v>632</v>
      </c>
      <c r="AA42" s="33" t="s">
        <v>636</v>
      </c>
      <c r="AB42" s="33" t="s">
        <v>628</v>
      </c>
    </row>
    <row r="43" spans="1:28" ht="24">
      <c r="A43" s="12" t="str">
        <f>IF('FY_25-26'!$D43="","",IF(OR('FY_25-26'!$D43="BOOHOO LADIES",'FY_25-26'!$D43="PLT",'FY_25-26'!$D43="KM"),"BUSINESS UNIT 1 - KIRAN","BUSINESS UNIT 2 - SHIFALI"))</f>
        <v>BUSINESS UNIT 2 - SHIFALI</v>
      </c>
      <c r="B43" s="26">
        <f>IF('FY_25-26'!$C43&lt;&gt;"",ROW()-ROW($B$2),"")</f>
        <v>41</v>
      </c>
      <c r="C43" s="26" t="s">
        <v>33</v>
      </c>
      <c r="D43" s="26" t="s">
        <v>145</v>
      </c>
      <c r="E43" s="27" t="s">
        <v>148</v>
      </c>
      <c r="F43" s="26" t="s">
        <v>26</v>
      </c>
      <c r="G43" s="26" t="s">
        <v>27</v>
      </c>
      <c r="H43" s="26" t="s">
        <v>209</v>
      </c>
      <c r="I43" s="26" t="s">
        <v>28</v>
      </c>
      <c r="J43" s="26" t="s">
        <v>29</v>
      </c>
      <c r="K43" s="26">
        <v>3390976</v>
      </c>
      <c r="L43" s="26" t="s">
        <v>30</v>
      </c>
      <c r="M43" s="26" t="s">
        <v>210</v>
      </c>
      <c r="N43" s="27" t="s">
        <v>211</v>
      </c>
      <c r="O43" s="28">
        <v>45937</v>
      </c>
      <c r="P43" s="26">
        <v>252</v>
      </c>
      <c r="Q43" s="29" t="s">
        <v>31</v>
      </c>
      <c r="R43" s="30">
        <v>31.5</v>
      </c>
      <c r="S43" s="29" t="str">
        <f t="shared" si="4"/>
        <v>-</v>
      </c>
      <c r="T43" s="30">
        <f t="shared" si="5"/>
        <v>7938</v>
      </c>
      <c r="U43" s="34">
        <v>45999</v>
      </c>
      <c r="V43" s="31">
        <v>46013</v>
      </c>
      <c r="W43" s="33"/>
      <c r="X43" s="32" t="s">
        <v>32</v>
      </c>
      <c r="Y43" s="33" t="s">
        <v>634</v>
      </c>
      <c r="Z43" s="33" t="s">
        <v>632</v>
      </c>
      <c r="AA43" s="33" t="s">
        <v>636</v>
      </c>
      <c r="AB43" s="33" t="s">
        <v>628</v>
      </c>
    </row>
    <row r="44" spans="1:28" ht="24">
      <c r="A44" s="10" t="str">
        <f>IF('FY_25-26'!$D44="","",IF(OR('FY_25-26'!$D44="BOOHOO LADIES",'FY_25-26'!$D44="PLT",'FY_25-26'!$D44="KM"),"BUSINESS UNIT 1 - KIRAN","BUSINESS UNIT 2 - SHIFALI"))</f>
        <v>BUSINESS UNIT 2 - SHIFALI</v>
      </c>
      <c r="B44" s="26">
        <f>IF('FY_25-26'!$C44&lt;&gt;"",ROW()-ROW($B$2),"")</f>
        <v>42</v>
      </c>
      <c r="C44" s="26" t="s">
        <v>37</v>
      </c>
      <c r="D44" s="26" t="s">
        <v>116</v>
      </c>
      <c r="E44" s="27" t="s">
        <v>135</v>
      </c>
      <c r="F44" s="26" t="s">
        <v>26</v>
      </c>
      <c r="G44" s="26" t="s">
        <v>27</v>
      </c>
      <c r="H44" s="26" t="s">
        <v>213</v>
      </c>
      <c r="I44" s="26" t="s">
        <v>36</v>
      </c>
      <c r="J44" s="26" t="s">
        <v>43</v>
      </c>
      <c r="K44" s="26">
        <v>3391961</v>
      </c>
      <c r="L44" s="26" t="s">
        <v>30</v>
      </c>
      <c r="M44" s="26" t="s">
        <v>214</v>
      </c>
      <c r="N44" s="27" t="s">
        <v>215</v>
      </c>
      <c r="O44" s="28">
        <v>45939</v>
      </c>
      <c r="P44" s="26">
        <v>200</v>
      </c>
      <c r="Q44" s="29" t="s">
        <v>31</v>
      </c>
      <c r="R44" s="30">
        <v>7.65</v>
      </c>
      <c r="S44" s="29" t="str">
        <f t="shared" ref="S44:S71" si="6">IF($Q44="","",IF($Q44="-","-",$P44*$Q44))</f>
        <v>-</v>
      </c>
      <c r="T44" s="30">
        <f t="shared" ref="T44:T71" si="7">IF($R44="","",IF($R44="-","-",$P44*$R44))</f>
        <v>1530</v>
      </c>
      <c r="U44" s="34">
        <v>46036</v>
      </c>
      <c r="V44" s="31" t="s">
        <v>31</v>
      </c>
      <c r="W44" s="33"/>
      <c r="X44" s="32" t="s">
        <v>32</v>
      </c>
      <c r="Y44" s="33" t="s">
        <v>634</v>
      </c>
      <c r="Z44" s="33" t="s">
        <v>632</v>
      </c>
      <c r="AA44" s="33" t="s">
        <v>636</v>
      </c>
      <c r="AB44" s="33" t="s">
        <v>628</v>
      </c>
    </row>
    <row r="45" spans="1:28" ht="30">
      <c r="A45" s="12" t="str">
        <f>IF('FY_25-26'!$D45="","",IF(OR('FY_25-26'!$D45="BOOHOO LADIES",'FY_25-26'!$D45="PLT",'FY_25-26'!$D45="KM"),"BUSINESS UNIT 1 - KIRAN","BUSINESS UNIT 2 - SHIFALI"))</f>
        <v>BUSINESS UNIT 2 - SHIFALI</v>
      </c>
      <c r="B45" s="26">
        <f>IF('FY_25-26'!$C45&lt;&gt;"",ROW()-ROW($B$2),"")</f>
        <v>43</v>
      </c>
      <c r="C45" s="26" t="s">
        <v>37</v>
      </c>
      <c r="D45" s="26" t="s">
        <v>116</v>
      </c>
      <c r="E45" s="27" t="s">
        <v>135</v>
      </c>
      <c r="F45" s="26" t="s">
        <v>26</v>
      </c>
      <c r="G45" s="26" t="s">
        <v>27</v>
      </c>
      <c r="H45" s="26" t="s">
        <v>216</v>
      </c>
      <c r="I45" s="26" t="s">
        <v>36</v>
      </c>
      <c r="J45" s="26" t="s">
        <v>100</v>
      </c>
      <c r="K45" s="26">
        <v>3391951</v>
      </c>
      <c r="L45" s="26" t="s">
        <v>30</v>
      </c>
      <c r="M45" s="26" t="s">
        <v>217</v>
      </c>
      <c r="N45" s="27" t="s">
        <v>218</v>
      </c>
      <c r="O45" s="28">
        <v>45939</v>
      </c>
      <c r="P45" s="26">
        <v>200</v>
      </c>
      <c r="Q45" s="29" t="s">
        <v>31</v>
      </c>
      <c r="R45" s="30">
        <v>9.9499999999999993</v>
      </c>
      <c r="S45" s="29" t="str">
        <f t="shared" si="6"/>
        <v>-</v>
      </c>
      <c r="T45" s="30">
        <f t="shared" si="7"/>
        <v>1989.9999999999998</v>
      </c>
      <c r="U45" s="34">
        <v>46036</v>
      </c>
      <c r="V45" s="31" t="s">
        <v>31</v>
      </c>
      <c r="W45" s="33"/>
      <c r="X45" s="32" t="s">
        <v>32</v>
      </c>
      <c r="Y45" s="33" t="s">
        <v>634</v>
      </c>
      <c r="Z45" s="33" t="s">
        <v>632</v>
      </c>
      <c r="AA45" s="33" t="s">
        <v>636</v>
      </c>
      <c r="AB45" s="33" t="s">
        <v>628</v>
      </c>
    </row>
    <row r="46" spans="1:28" ht="30">
      <c r="A46" s="12" t="str">
        <f>IF('FY_25-26'!$D46="","",IF(OR('FY_25-26'!$D46="BOOHOO LADIES",'FY_25-26'!$D46="PLT",'FY_25-26'!$D46="KM"),"BUSINESS UNIT 1 - KIRAN","BUSINESS UNIT 2 - SHIFALI"))</f>
        <v>BUSINESS UNIT 2 - SHIFALI</v>
      </c>
      <c r="B46" s="26">
        <f>IF('FY_25-26'!$C46&lt;&gt;"",ROW()-ROW($B$2),"")</f>
        <v>44</v>
      </c>
      <c r="C46" s="26" t="s">
        <v>37</v>
      </c>
      <c r="D46" s="26" t="s">
        <v>116</v>
      </c>
      <c r="E46" s="27" t="s">
        <v>135</v>
      </c>
      <c r="F46" s="26" t="s">
        <v>26</v>
      </c>
      <c r="G46" s="26" t="s">
        <v>27</v>
      </c>
      <c r="H46" s="26" t="s">
        <v>219</v>
      </c>
      <c r="I46" s="26" t="s">
        <v>36</v>
      </c>
      <c r="J46" s="26" t="s">
        <v>128</v>
      </c>
      <c r="K46" s="26">
        <v>3391943</v>
      </c>
      <c r="L46" s="26" t="s">
        <v>30</v>
      </c>
      <c r="M46" s="26" t="s">
        <v>220</v>
      </c>
      <c r="N46" s="27" t="s">
        <v>221</v>
      </c>
      <c r="O46" s="28">
        <v>45939</v>
      </c>
      <c r="P46" s="26">
        <v>200</v>
      </c>
      <c r="Q46" s="29" t="s">
        <v>31</v>
      </c>
      <c r="R46" s="30">
        <v>9.9499999999999993</v>
      </c>
      <c r="S46" s="29" t="str">
        <f t="shared" si="6"/>
        <v>-</v>
      </c>
      <c r="T46" s="30">
        <f t="shared" si="7"/>
        <v>1989.9999999999998</v>
      </c>
      <c r="U46" s="34">
        <v>46043</v>
      </c>
      <c r="V46" s="31" t="s">
        <v>31</v>
      </c>
      <c r="W46" s="33"/>
      <c r="X46" s="32" t="s">
        <v>32</v>
      </c>
      <c r="Y46" s="33" t="s">
        <v>634</v>
      </c>
      <c r="Z46" s="33" t="s">
        <v>632</v>
      </c>
      <c r="AA46" s="33" t="s">
        <v>636</v>
      </c>
      <c r="AB46" s="33" t="s">
        <v>628</v>
      </c>
    </row>
    <row r="47" spans="1:28" ht="30">
      <c r="A47" s="12" t="str">
        <f>IF('FY_25-26'!$D47="","",IF(OR('FY_25-26'!$D47="BOOHOO LADIES",'FY_25-26'!$D47="PLT",'FY_25-26'!$D47="KM"),"BUSINESS UNIT 1 - KIRAN","BUSINESS UNIT 2 - SHIFALI"))</f>
        <v>BUSINESS UNIT 2 - SHIFALI</v>
      </c>
      <c r="B47" s="26">
        <f>IF('FY_25-26'!$C47&lt;&gt;"",ROW()-ROW($B$2),"")</f>
        <v>45</v>
      </c>
      <c r="C47" s="26" t="s">
        <v>37</v>
      </c>
      <c r="D47" s="26" t="s">
        <v>116</v>
      </c>
      <c r="E47" s="27" t="s">
        <v>135</v>
      </c>
      <c r="F47" s="26" t="s">
        <v>26</v>
      </c>
      <c r="G47" s="26" t="s">
        <v>27</v>
      </c>
      <c r="H47" s="26" t="s">
        <v>222</v>
      </c>
      <c r="I47" s="26" t="s">
        <v>36</v>
      </c>
      <c r="J47" s="26" t="s">
        <v>128</v>
      </c>
      <c r="K47" s="26">
        <v>3391942</v>
      </c>
      <c r="L47" s="26" t="s">
        <v>30</v>
      </c>
      <c r="M47" s="26" t="s">
        <v>223</v>
      </c>
      <c r="N47" s="27" t="s">
        <v>224</v>
      </c>
      <c r="O47" s="28">
        <v>45939</v>
      </c>
      <c r="P47" s="26">
        <v>200</v>
      </c>
      <c r="Q47" s="29" t="s">
        <v>31</v>
      </c>
      <c r="R47" s="30">
        <v>11.75</v>
      </c>
      <c r="S47" s="29" t="str">
        <f t="shared" si="6"/>
        <v>-</v>
      </c>
      <c r="T47" s="30">
        <f t="shared" si="7"/>
        <v>2350</v>
      </c>
      <c r="U47" s="34">
        <v>46043</v>
      </c>
      <c r="V47" s="31" t="s">
        <v>31</v>
      </c>
      <c r="W47" s="33"/>
      <c r="X47" s="32" t="s">
        <v>32</v>
      </c>
      <c r="Y47" s="33" t="s">
        <v>634</v>
      </c>
      <c r="Z47" s="33" t="s">
        <v>632</v>
      </c>
      <c r="AA47" s="33" t="s">
        <v>636</v>
      </c>
      <c r="AB47" s="33" t="s">
        <v>628</v>
      </c>
    </row>
    <row r="48" spans="1:28" ht="30">
      <c r="A48" s="12" t="str">
        <f>IF('FY_25-26'!$D48="","",IF(OR('FY_25-26'!$D48="BOOHOO LADIES",'FY_25-26'!$D48="PLT",'FY_25-26'!$D48="KM"),"BUSINESS UNIT 1 - KIRAN","BUSINESS UNIT 2 - SHIFALI"))</f>
        <v>BUSINESS UNIT 2 - SHIFALI</v>
      </c>
      <c r="B48" s="26">
        <f>IF('FY_25-26'!$C48&lt;&gt;"",ROW()-ROW($B$2),"")</f>
        <v>46</v>
      </c>
      <c r="C48" s="26" t="s">
        <v>37</v>
      </c>
      <c r="D48" s="26" t="s">
        <v>116</v>
      </c>
      <c r="E48" s="27" t="s">
        <v>135</v>
      </c>
      <c r="F48" s="26" t="s">
        <v>26</v>
      </c>
      <c r="G48" s="26" t="s">
        <v>27</v>
      </c>
      <c r="H48" s="26" t="s">
        <v>225</v>
      </c>
      <c r="I48" s="26" t="s">
        <v>36</v>
      </c>
      <c r="J48" s="26" t="s">
        <v>118</v>
      </c>
      <c r="K48" s="26">
        <v>3391982</v>
      </c>
      <c r="L48" s="26" t="s">
        <v>30</v>
      </c>
      <c r="M48" s="26" t="s">
        <v>226</v>
      </c>
      <c r="N48" s="27" t="s">
        <v>227</v>
      </c>
      <c r="O48" s="28">
        <v>45939</v>
      </c>
      <c r="P48" s="26">
        <v>200</v>
      </c>
      <c r="Q48" s="29" t="s">
        <v>31</v>
      </c>
      <c r="R48" s="30">
        <v>7.95</v>
      </c>
      <c r="S48" s="29" t="str">
        <f t="shared" si="6"/>
        <v>-</v>
      </c>
      <c r="T48" s="30">
        <f t="shared" si="7"/>
        <v>1590</v>
      </c>
      <c r="U48" s="34">
        <v>46036</v>
      </c>
      <c r="V48" s="31" t="s">
        <v>31</v>
      </c>
      <c r="W48" s="33"/>
      <c r="X48" s="32" t="s">
        <v>32</v>
      </c>
      <c r="Y48" s="33" t="s">
        <v>634</v>
      </c>
      <c r="Z48" s="33" t="s">
        <v>632</v>
      </c>
      <c r="AA48" s="33" t="s">
        <v>636</v>
      </c>
      <c r="AB48" s="33" t="s">
        <v>628</v>
      </c>
    </row>
    <row r="49" spans="1:28" ht="24">
      <c r="A49" s="12" t="str">
        <f>IF('FY_25-26'!$D49="","",IF(OR('FY_25-26'!$D49="BOOHOO LADIES",'FY_25-26'!$D49="PLT",'FY_25-26'!$D49="KM"),"BUSINESS UNIT 1 - KIRAN","BUSINESS UNIT 2 - SHIFALI"))</f>
        <v>BUSINESS UNIT 2 - SHIFALI</v>
      </c>
      <c r="B49" s="26">
        <f>IF('FY_25-26'!$C49&lt;&gt;"",ROW()-ROW($B$2),"")</f>
        <v>47</v>
      </c>
      <c r="C49" s="26" t="s">
        <v>37</v>
      </c>
      <c r="D49" s="26" t="s">
        <v>116</v>
      </c>
      <c r="E49" s="27" t="s">
        <v>135</v>
      </c>
      <c r="F49" s="26" t="s">
        <v>26</v>
      </c>
      <c r="G49" s="26" t="s">
        <v>27</v>
      </c>
      <c r="H49" s="26" t="s">
        <v>228</v>
      </c>
      <c r="I49" s="26" t="s">
        <v>36</v>
      </c>
      <c r="J49" s="26" t="s">
        <v>118</v>
      </c>
      <c r="K49" s="26">
        <v>3391981</v>
      </c>
      <c r="L49" s="26" t="s">
        <v>30</v>
      </c>
      <c r="M49" s="26" t="s">
        <v>229</v>
      </c>
      <c r="N49" s="27" t="s">
        <v>230</v>
      </c>
      <c r="O49" s="28">
        <v>45939</v>
      </c>
      <c r="P49" s="26">
        <v>200</v>
      </c>
      <c r="Q49" s="29" t="s">
        <v>31</v>
      </c>
      <c r="R49" s="30">
        <v>9.65</v>
      </c>
      <c r="S49" s="29" t="str">
        <f t="shared" si="6"/>
        <v>-</v>
      </c>
      <c r="T49" s="30">
        <f t="shared" si="7"/>
        <v>1930</v>
      </c>
      <c r="U49" s="34">
        <v>46036</v>
      </c>
      <c r="V49" s="31" t="s">
        <v>31</v>
      </c>
      <c r="W49" s="33"/>
      <c r="X49" s="32" t="s">
        <v>32</v>
      </c>
      <c r="Y49" s="33" t="s">
        <v>634</v>
      </c>
      <c r="Z49" s="33" t="s">
        <v>632</v>
      </c>
      <c r="AA49" s="33" t="s">
        <v>636</v>
      </c>
      <c r="AB49" s="33" t="s">
        <v>628</v>
      </c>
    </row>
    <row r="50" spans="1:28" ht="24">
      <c r="A50" s="10" t="str">
        <f>IF('FY_25-26'!$D50="","",IF(OR('FY_25-26'!$D50="BOOHOO LADIES",'FY_25-26'!$D50="PLT",'FY_25-26'!$D50="KM"),"BUSINESS UNIT 1 - KIRAN","BUSINESS UNIT 2 - SHIFALI"))</f>
        <v>BUSINESS UNIT 2 - SHIFALI</v>
      </c>
      <c r="B50" s="26">
        <f>IF('FY_25-26'!$C50&lt;&gt;"",ROW()-ROW($B$2),"")</f>
        <v>48</v>
      </c>
      <c r="C50" s="26" t="s">
        <v>33</v>
      </c>
      <c r="D50" s="26" t="s">
        <v>34</v>
      </c>
      <c r="E50" s="27" t="s">
        <v>147</v>
      </c>
      <c r="F50" s="26" t="s">
        <v>26</v>
      </c>
      <c r="G50" s="26" t="s">
        <v>27</v>
      </c>
      <c r="H50" s="26" t="s">
        <v>191</v>
      </c>
      <c r="I50" s="26" t="s">
        <v>28</v>
      </c>
      <c r="J50" s="26" t="s">
        <v>231</v>
      </c>
      <c r="K50" s="26">
        <v>3392218</v>
      </c>
      <c r="L50" s="26" t="s">
        <v>30</v>
      </c>
      <c r="M50" s="26" t="s">
        <v>232</v>
      </c>
      <c r="N50" s="27" t="s">
        <v>233</v>
      </c>
      <c r="O50" s="28">
        <v>45939</v>
      </c>
      <c r="P50" s="26">
        <v>100</v>
      </c>
      <c r="Q50" s="29" t="s">
        <v>31</v>
      </c>
      <c r="R50" s="30">
        <v>34</v>
      </c>
      <c r="S50" s="29" t="str">
        <f t="shared" si="6"/>
        <v>-</v>
      </c>
      <c r="T50" s="30">
        <f t="shared" si="7"/>
        <v>3400</v>
      </c>
      <c r="U50" s="34">
        <v>46041</v>
      </c>
      <c r="V50" s="31" t="s">
        <v>31</v>
      </c>
      <c r="W50" s="33"/>
      <c r="X50" s="32" t="s">
        <v>32</v>
      </c>
      <c r="Y50" s="33" t="s">
        <v>634</v>
      </c>
      <c r="Z50" s="33" t="s">
        <v>632</v>
      </c>
      <c r="AA50" s="33" t="s">
        <v>636</v>
      </c>
      <c r="AB50" s="33" t="s">
        <v>628</v>
      </c>
    </row>
    <row r="51" spans="1:28" ht="24">
      <c r="A51" s="12" t="str">
        <f>IF('FY_25-26'!$D51="","",IF(OR('FY_25-26'!$D51="BOOHOO LADIES",'FY_25-26'!$D51="PLT",'FY_25-26'!$D51="KM"),"BUSINESS UNIT 1 - KIRAN","BUSINESS UNIT 2 - SHIFALI"))</f>
        <v>BUSINESS UNIT 2 - SHIFALI</v>
      </c>
      <c r="B51" s="26">
        <f>IF('FY_25-26'!$C51&lt;&gt;"",ROW()-ROW($B$2),"")</f>
        <v>49</v>
      </c>
      <c r="C51" s="26" t="s">
        <v>33</v>
      </c>
      <c r="D51" s="26" t="s">
        <v>34</v>
      </c>
      <c r="E51" s="27" t="s">
        <v>147</v>
      </c>
      <c r="F51" s="26" t="s">
        <v>26</v>
      </c>
      <c r="G51" s="26" t="s">
        <v>27</v>
      </c>
      <c r="H51" s="26" t="s">
        <v>191</v>
      </c>
      <c r="I51" s="26" t="s">
        <v>28</v>
      </c>
      <c r="J51" s="26" t="s">
        <v>212</v>
      </c>
      <c r="K51" s="26">
        <v>3392218</v>
      </c>
      <c r="L51" s="26" t="s">
        <v>30</v>
      </c>
      <c r="M51" s="26" t="s">
        <v>232</v>
      </c>
      <c r="N51" s="27" t="s">
        <v>233</v>
      </c>
      <c r="O51" s="28">
        <v>45939</v>
      </c>
      <c r="P51" s="26">
        <v>100</v>
      </c>
      <c r="Q51" s="29" t="s">
        <v>31</v>
      </c>
      <c r="R51" s="30">
        <v>34</v>
      </c>
      <c r="S51" s="29" t="str">
        <f t="shared" si="6"/>
        <v>-</v>
      </c>
      <c r="T51" s="30">
        <f t="shared" si="7"/>
        <v>3400</v>
      </c>
      <c r="U51" s="34">
        <v>46041</v>
      </c>
      <c r="V51" s="31" t="s">
        <v>31</v>
      </c>
      <c r="W51" s="33"/>
      <c r="X51" s="32" t="s">
        <v>32</v>
      </c>
      <c r="Y51" s="33" t="s">
        <v>634</v>
      </c>
      <c r="Z51" s="33" t="s">
        <v>632</v>
      </c>
      <c r="AA51" s="33" t="s">
        <v>636</v>
      </c>
      <c r="AB51" s="33" t="s">
        <v>628</v>
      </c>
    </row>
    <row r="52" spans="1:28" ht="24">
      <c r="A52" s="12" t="str">
        <f>IF('FY_25-26'!$D52="","",IF(OR('FY_25-26'!$D52="BOOHOO LADIES",'FY_25-26'!$D52="PLT",'FY_25-26'!$D52="KM"),"BUSINESS UNIT 1 - KIRAN","BUSINESS UNIT 2 - SHIFALI"))</f>
        <v>BUSINESS UNIT 2 - SHIFALI</v>
      </c>
      <c r="B52" s="26">
        <f>IF('FY_25-26'!$C52&lt;&gt;"",ROW()-ROW($B$2),"")</f>
        <v>50</v>
      </c>
      <c r="C52" s="26" t="s">
        <v>33</v>
      </c>
      <c r="D52" s="26" t="s">
        <v>34</v>
      </c>
      <c r="E52" s="27" t="s">
        <v>147</v>
      </c>
      <c r="F52" s="26" t="s">
        <v>26</v>
      </c>
      <c r="G52" s="26" t="s">
        <v>27</v>
      </c>
      <c r="H52" s="26" t="s">
        <v>234</v>
      </c>
      <c r="I52" s="26" t="s">
        <v>28</v>
      </c>
      <c r="J52" s="26" t="s">
        <v>235</v>
      </c>
      <c r="K52" s="26">
        <v>3392217</v>
      </c>
      <c r="L52" s="26" t="s">
        <v>30</v>
      </c>
      <c r="M52" s="26" t="s">
        <v>236</v>
      </c>
      <c r="N52" s="27" t="s">
        <v>237</v>
      </c>
      <c r="O52" s="28">
        <v>45939</v>
      </c>
      <c r="P52" s="26">
        <v>150</v>
      </c>
      <c r="Q52" s="29" t="s">
        <v>31</v>
      </c>
      <c r="R52" s="30">
        <v>31</v>
      </c>
      <c r="S52" s="29" t="str">
        <f t="shared" si="6"/>
        <v>-</v>
      </c>
      <c r="T52" s="30">
        <f t="shared" si="7"/>
        <v>4650</v>
      </c>
      <c r="U52" s="34">
        <v>46041</v>
      </c>
      <c r="V52" s="31" t="s">
        <v>31</v>
      </c>
      <c r="W52" s="33"/>
      <c r="X52" s="32" t="s">
        <v>40</v>
      </c>
      <c r="Y52" s="33" t="s">
        <v>635</v>
      </c>
      <c r="Z52" s="33" t="s">
        <v>632</v>
      </c>
      <c r="AA52" s="33" t="s">
        <v>636</v>
      </c>
      <c r="AB52" s="33" t="s">
        <v>628</v>
      </c>
    </row>
    <row r="53" spans="1:28" ht="24">
      <c r="A53" s="12" t="str">
        <f>IF('FY_25-26'!$D53="","",IF(OR('FY_25-26'!$D53="BOOHOO LADIES",'FY_25-26'!$D53="PLT",'FY_25-26'!$D53="KM"),"BUSINESS UNIT 1 - KIRAN","BUSINESS UNIT 2 - SHIFALI"))</f>
        <v>BUSINESS UNIT 2 - SHIFALI</v>
      </c>
      <c r="B53" s="26">
        <f>IF('FY_25-26'!$C53&lt;&gt;"",ROW()-ROW($B$2),"")</f>
        <v>51</v>
      </c>
      <c r="C53" s="26" t="s">
        <v>33</v>
      </c>
      <c r="D53" s="26" t="s">
        <v>34</v>
      </c>
      <c r="E53" s="27" t="s">
        <v>147</v>
      </c>
      <c r="F53" s="26" t="s">
        <v>26</v>
      </c>
      <c r="G53" s="26" t="s">
        <v>27</v>
      </c>
      <c r="H53" s="26" t="s">
        <v>234</v>
      </c>
      <c r="I53" s="26" t="s">
        <v>28</v>
      </c>
      <c r="J53" s="26" t="s">
        <v>231</v>
      </c>
      <c r="K53" s="26">
        <v>3392217</v>
      </c>
      <c r="L53" s="26" t="s">
        <v>30</v>
      </c>
      <c r="M53" s="26" t="s">
        <v>236</v>
      </c>
      <c r="N53" s="27" t="s">
        <v>237</v>
      </c>
      <c r="O53" s="28">
        <v>45939</v>
      </c>
      <c r="P53" s="26">
        <v>100</v>
      </c>
      <c r="Q53" s="29" t="s">
        <v>31</v>
      </c>
      <c r="R53" s="30">
        <v>31</v>
      </c>
      <c r="S53" s="29" t="str">
        <f t="shared" si="6"/>
        <v>-</v>
      </c>
      <c r="T53" s="30">
        <f t="shared" si="7"/>
        <v>3100</v>
      </c>
      <c r="U53" s="34">
        <v>46041</v>
      </c>
      <c r="V53" s="31" t="s">
        <v>31</v>
      </c>
      <c r="W53" s="33"/>
      <c r="X53" s="32" t="s">
        <v>40</v>
      </c>
      <c r="Y53" s="33" t="s">
        <v>635</v>
      </c>
      <c r="Z53" s="33" t="s">
        <v>632</v>
      </c>
      <c r="AA53" s="33" t="s">
        <v>636</v>
      </c>
      <c r="AB53" s="33" t="s">
        <v>628</v>
      </c>
    </row>
    <row r="54" spans="1:28" ht="24">
      <c r="A54" s="12" t="str">
        <f>IF('FY_25-26'!$D54="","",IF(OR('FY_25-26'!$D54="BOOHOO LADIES",'FY_25-26'!$D54="PLT",'FY_25-26'!$D54="KM"),"BUSINESS UNIT 1 - KIRAN","BUSINESS UNIT 2 - SHIFALI"))</f>
        <v>BUSINESS UNIT 2 - SHIFALI</v>
      </c>
      <c r="B54" s="26">
        <f>IF('FY_25-26'!$C54&lt;&gt;"",ROW()-ROW($B$2),"")</f>
        <v>52</v>
      </c>
      <c r="C54" s="26" t="s">
        <v>33</v>
      </c>
      <c r="D54" s="26" t="s">
        <v>34</v>
      </c>
      <c r="E54" s="27" t="s">
        <v>147</v>
      </c>
      <c r="F54" s="26" t="s">
        <v>26</v>
      </c>
      <c r="G54" s="26" t="s">
        <v>27</v>
      </c>
      <c r="H54" s="26" t="s">
        <v>234</v>
      </c>
      <c r="I54" s="26" t="s">
        <v>28</v>
      </c>
      <c r="J54" s="26" t="s">
        <v>212</v>
      </c>
      <c r="K54" s="26">
        <v>3392217</v>
      </c>
      <c r="L54" s="26" t="s">
        <v>30</v>
      </c>
      <c r="M54" s="26" t="s">
        <v>236</v>
      </c>
      <c r="N54" s="27" t="s">
        <v>237</v>
      </c>
      <c r="O54" s="28">
        <v>45939</v>
      </c>
      <c r="P54" s="26">
        <v>150</v>
      </c>
      <c r="Q54" s="29" t="s">
        <v>31</v>
      </c>
      <c r="R54" s="30">
        <v>31</v>
      </c>
      <c r="S54" s="29" t="str">
        <f t="shared" si="6"/>
        <v>-</v>
      </c>
      <c r="T54" s="30">
        <f t="shared" si="7"/>
        <v>4650</v>
      </c>
      <c r="U54" s="34">
        <v>46041</v>
      </c>
      <c r="V54" s="31" t="s">
        <v>31</v>
      </c>
      <c r="W54" s="33"/>
      <c r="X54" s="32" t="s">
        <v>40</v>
      </c>
      <c r="Y54" s="33" t="s">
        <v>635</v>
      </c>
      <c r="Z54" s="33" t="s">
        <v>632</v>
      </c>
      <c r="AA54" s="33" t="s">
        <v>636</v>
      </c>
      <c r="AB54" s="33" t="s">
        <v>628</v>
      </c>
    </row>
    <row r="55" spans="1:28" ht="24">
      <c r="A55" s="12" t="str">
        <f>IF('FY_25-26'!$D55="","",IF(OR('FY_25-26'!$D55="BOOHOO LADIES",'FY_25-26'!$D55="PLT",'FY_25-26'!$D55="KM"),"BUSINESS UNIT 1 - KIRAN","BUSINESS UNIT 2 - SHIFALI"))</f>
        <v>BUSINESS UNIT 2 - SHIFALI</v>
      </c>
      <c r="B55" s="26">
        <f>IF('FY_25-26'!$C55&lt;&gt;"",ROW()-ROW($B$2),"")</f>
        <v>53</v>
      </c>
      <c r="C55" s="26" t="s">
        <v>33</v>
      </c>
      <c r="D55" s="26" t="s">
        <v>34</v>
      </c>
      <c r="E55" s="27" t="s">
        <v>147</v>
      </c>
      <c r="F55" s="26" t="s">
        <v>26</v>
      </c>
      <c r="G55" s="26" t="s">
        <v>27</v>
      </c>
      <c r="H55" s="26" t="s">
        <v>191</v>
      </c>
      <c r="I55" s="26" t="s">
        <v>28</v>
      </c>
      <c r="J55" s="26" t="s">
        <v>231</v>
      </c>
      <c r="K55" s="26">
        <v>3392216</v>
      </c>
      <c r="L55" s="26" t="s">
        <v>30</v>
      </c>
      <c r="M55" s="26" t="s">
        <v>232</v>
      </c>
      <c r="N55" s="27" t="s">
        <v>238</v>
      </c>
      <c r="O55" s="28">
        <v>45939</v>
      </c>
      <c r="P55" s="26">
        <v>100</v>
      </c>
      <c r="Q55" s="29" t="s">
        <v>31</v>
      </c>
      <c r="R55" s="30">
        <v>34</v>
      </c>
      <c r="S55" s="29" t="str">
        <f t="shared" si="6"/>
        <v>-</v>
      </c>
      <c r="T55" s="30">
        <f t="shared" si="7"/>
        <v>3400</v>
      </c>
      <c r="U55" s="34">
        <v>46041</v>
      </c>
      <c r="V55" s="31" t="s">
        <v>31</v>
      </c>
      <c r="W55" s="33"/>
      <c r="X55" s="32" t="s">
        <v>40</v>
      </c>
      <c r="Y55" s="33" t="s">
        <v>635</v>
      </c>
      <c r="Z55" s="33" t="s">
        <v>632</v>
      </c>
      <c r="AA55" s="33" t="s">
        <v>636</v>
      </c>
      <c r="AB55" s="33" t="s">
        <v>628</v>
      </c>
    </row>
    <row r="56" spans="1:28" ht="24">
      <c r="A56" s="12" t="str">
        <f>IF('FY_25-26'!$D56="","",IF(OR('FY_25-26'!$D56="BOOHOO LADIES",'FY_25-26'!$D56="PLT",'FY_25-26'!$D56="KM"),"BUSINESS UNIT 1 - KIRAN","BUSINESS UNIT 2 - SHIFALI"))</f>
        <v>BUSINESS UNIT 2 - SHIFALI</v>
      </c>
      <c r="B56" s="26">
        <f>IF('FY_25-26'!$C56&lt;&gt;"",ROW()-ROW($B$2),"")</f>
        <v>54</v>
      </c>
      <c r="C56" s="26" t="s">
        <v>33</v>
      </c>
      <c r="D56" s="26" t="s">
        <v>34</v>
      </c>
      <c r="E56" s="27" t="s">
        <v>147</v>
      </c>
      <c r="F56" s="26" t="s">
        <v>26</v>
      </c>
      <c r="G56" s="26" t="s">
        <v>27</v>
      </c>
      <c r="H56" s="26" t="s">
        <v>191</v>
      </c>
      <c r="I56" s="26" t="s">
        <v>28</v>
      </c>
      <c r="J56" s="26" t="s">
        <v>212</v>
      </c>
      <c r="K56" s="26">
        <v>3392216</v>
      </c>
      <c r="L56" s="26" t="s">
        <v>30</v>
      </c>
      <c r="M56" s="26" t="s">
        <v>232</v>
      </c>
      <c r="N56" s="27" t="s">
        <v>238</v>
      </c>
      <c r="O56" s="28">
        <v>45939</v>
      </c>
      <c r="P56" s="26">
        <v>100</v>
      </c>
      <c r="Q56" s="29" t="s">
        <v>31</v>
      </c>
      <c r="R56" s="30">
        <v>34</v>
      </c>
      <c r="S56" s="29" t="str">
        <f t="shared" si="6"/>
        <v>-</v>
      </c>
      <c r="T56" s="30">
        <f t="shared" si="7"/>
        <v>3400</v>
      </c>
      <c r="U56" s="34">
        <v>46041</v>
      </c>
      <c r="V56" s="31" t="s">
        <v>31</v>
      </c>
      <c r="W56" s="33"/>
      <c r="X56" s="32" t="s">
        <v>40</v>
      </c>
      <c r="Y56" s="33" t="s">
        <v>635</v>
      </c>
      <c r="Z56" s="33" t="s">
        <v>632</v>
      </c>
      <c r="AA56" s="33" t="s">
        <v>636</v>
      </c>
      <c r="AB56" s="33" t="s">
        <v>628</v>
      </c>
    </row>
    <row r="57" spans="1:28" ht="24">
      <c r="A57" s="12" t="str">
        <f>IF('FY_25-26'!$D57="","",IF(OR('FY_25-26'!$D57="BOOHOO LADIES",'FY_25-26'!$D57="PLT",'FY_25-26'!$D57="KM"),"BUSINESS UNIT 1 - KIRAN","BUSINESS UNIT 2 - SHIFALI"))</f>
        <v>BUSINESS UNIT 2 - SHIFALI</v>
      </c>
      <c r="B57" s="26">
        <f>IF('FY_25-26'!$C57&lt;&gt;"",ROW()-ROW($B$2),"")</f>
        <v>55</v>
      </c>
      <c r="C57" s="26" t="s">
        <v>37</v>
      </c>
      <c r="D57" s="26" t="s">
        <v>116</v>
      </c>
      <c r="E57" s="27" t="s">
        <v>135</v>
      </c>
      <c r="F57" s="26" t="s">
        <v>26</v>
      </c>
      <c r="G57" s="26" t="s">
        <v>27</v>
      </c>
      <c r="H57" s="26" t="s">
        <v>239</v>
      </c>
      <c r="I57" s="26" t="s">
        <v>36</v>
      </c>
      <c r="J57" s="26" t="s">
        <v>29</v>
      </c>
      <c r="K57" s="26">
        <v>3392027</v>
      </c>
      <c r="L57" s="26" t="s">
        <v>30</v>
      </c>
      <c r="M57" s="26" t="s">
        <v>240</v>
      </c>
      <c r="N57" s="27" t="s">
        <v>241</v>
      </c>
      <c r="O57" s="28">
        <v>45939</v>
      </c>
      <c r="P57" s="26">
        <v>250</v>
      </c>
      <c r="Q57" s="29" t="s">
        <v>31</v>
      </c>
      <c r="R57" s="30">
        <v>9.1999999999999993</v>
      </c>
      <c r="S57" s="29" t="str">
        <f t="shared" si="6"/>
        <v>-</v>
      </c>
      <c r="T57" s="30">
        <f t="shared" si="7"/>
        <v>2300</v>
      </c>
      <c r="U57" s="34">
        <v>46036</v>
      </c>
      <c r="V57" s="31" t="s">
        <v>31</v>
      </c>
      <c r="W57" s="33"/>
      <c r="X57" s="32" t="s">
        <v>32</v>
      </c>
      <c r="Y57" s="33" t="s">
        <v>634</v>
      </c>
      <c r="Z57" s="33" t="s">
        <v>632</v>
      </c>
      <c r="AA57" s="33" t="s">
        <v>636</v>
      </c>
      <c r="AB57" s="33" t="s">
        <v>628</v>
      </c>
    </row>
    <row r="58" spans="1:28" ht="24">
      <c r="A58" s="12" t="str">
        <f>IF('FY_25-26'!$D58="","",IF(OR('FY_25-26'!$D58="BOOHOO LADIES",'FY_25-26'!$D58="PLT",'FY_25-26'!$D58="KM"),"BUSINESS UNIT 1 - KIRAN","BUSINESS UNIT 2 - SHIFALI"))</f>
        <v>BUSINESS UNIT 2 - SHIFALI</v>
      </c>
      <c r="B58" s="26">
        <f>IF('FY_25-26'!$C58&lt;&gt;"",ROW()-ROW($B$2),"")</f>
        <v>56</v>
      </c>
      <c r="C58" s="26" t="s">
        <v>37</v>
      </c>
      <c r="D58" s="26" t="s">
        <v>116</v>
      </c>
      <c r="E58" s="27" t="s">
        <v>135</v>
      </c>
      <c r="F58" s="26" t="s">
        <v>26</v>
      </c>
      <c r="G58" s="26" t="s">
        <v>27</v>
      </c>
      <c r="H58" s="26" t="s">
        <v>242</v>
      </c>
      <c r="I58" s="26" t="s">
        <v>36</v>
      </c>
      <c r="J58" s="26" t="s">
        <v>127</v>
      </c>
      <c r="K58" s="26">
        <v>3392000</v>
      </c>
      <c r="L58" s="26" t="s">
        <v>30</v>
      </c>
      <c r="M58" s="26" t="s">
        <v>243</v>
      </c>
      <c r="N58" s="27" t="s">
        <v>244</v>
      </c>
      <c r="O58" s="28">
        <v>45939</v>
      </c>
      <c r="P58" s="26">
        <v>251</v>
      </c>
      <c r="Q58" s="29" t="s">
        <v>31</v>
      </c>
      <c r="R58" s="30">
        <v>7.65</v>
      </c>
      <c r="S58" s="29" t="str">
        <f t="shared" si="6"/>
        <v>-</v>
      </c>
      <c r="T58" s="30">
        <f t="shared" si="7"/>
        <v>1920.15</v>
      </c>
      <c r="U58" s="34">
        <v>46009</v>
      </c>
      <c r="V58" s="31" t="s">
        <v>31</v>
      </c>
      <c r="W58" s="33"/>
      <c r="X58" s="32" t="s">
        <v>32</v>
      </c>
      <c r="Y58" s="33" t="s">
        <v>634</v>
      </c>
      <c r="Z58" s="33" t="s">
        <v>632</v>
      </c>
      <c r="AA58" s="33" t="s">
        <v>636</v>
      </c>
      <c r="AB58" s="33" t="s">
        <v>628</v>
      </c>
    </row>
    <row r="59" spans="1:28" ht="24">
      <c r="A59" s="10" t="str">
        <f>IF('FY_25-26'!$D59="","",IF(OR('FY_25-26'!$D59="BOOHOO LADIES",'FY_25-26'!$D59="PLT",'FY_25-26'!$D59="KM"),"BUSINESS UNIT 1 - KIRAN","BUSINESS UNIT 2 - SHIFALI"))</f>
        <v>BUSINESS UNIT 2 - SHIFALI</v>
      </c>
      <c r="B59" s="26">
        <f>IF('FY_25-26'!$C59&lt;&gt;"",ROW()-ROW($B$2),"")</f>
        <v>57</v>
      </c>
      <c r="C59" s="26" t="s">
        <v>37</v>
      </c>
      <c r="D59" s="26" t="s">
        <v>116</v>
      </c>
      <c r="E59" s="27" t="s">
        <v>31</v>
      </c>
      <c r="F59" s="26" t="s">
        <v>26</v>
      </c>
      <c r="G59" s="26" t="s">
        <v>27</v>
      </c>
      <c r="H59" s="26" t="s">
        <v>245</v>
      </c>
      <c r="I59" s="26" t="s">
        <v>36</v>
      </c>
      <c r="J59" s="26" t="s">
        <v>31</v>
      </c>
      <c r="K59" s="26">
        <v>3384697</v>
      </c>
      <c r="L59" s="26" t="s">
        <v>30</v>
      </c>
      <c r="M59" s="26" t="s">
        <v>246</v>
      </c>
      <c r="N59" s="27" t="s">
        <v>247</v>
      </c>
      <c r="O59" s="28" t="s">
        <v>31</v>
      </c>
      <c r="P59" s="26">
        <v>200</v>
      </c>
      <c r="Q59" s="29" t="s">
        <v>31</v>
      </c>
      <c r="R59" s="30">
        <v>6.5</v>
      </c>
      <c r="S59" s="29" t="str">
        <f t="shared" si="6"/>
        <v>-</v>
      </c>
      <c r="T59" s="30">
        <f t="shared" si="7"/>
        <v>1300</v>
      </c>
      <c r="U59" s="34">
        <v>46016</v>
      </c>
      <c r="V59" s="31" t="s">
        <v>31</v>
      </c>
      <c r="W59" s="33"/>
      <c r="X59" s="32" t="s">
        <v>32</v>
      </c>
      <c r="Y59" s="33" t="s">
        <v>634</v>
      </c>
      <c r="Z59" s="33" t="s">
        <v>632</v>
      </c>
      <c r="AA59" s="33" t="s">
        <v>636</v>
      </c>
      <c r="AB59" s="33" t="s">
        <v>628</v>
      </c>
    </row>
    <row r="60" spans="1:28" ht="30">
      <c r="A60" s="10" t="str">
        <f>IF('FY_25-26'!$D60="","",IF(OR('FY_25-26'!$D60="BOOHOO LADIES",'FY_25-26'!$D60="PLT",'FY_25-26'!$D60="KM"),"BUSINESS UNIT 1 - KIRAN","BUSINESS UNIT 2 - SHIFALI"))</f>
        <v>BUSINESS UNIT 2 - SHIFALI</v>
      </c>
      <c r="B60" s="26">
        <f>IF('FY_25-26'!$C60&lt;&gt;"",ROW()-ROW($B$2),"")</f>
        <v>58</v>
      </c>
      <c r="C60" s="26" t="s">
        <v>60</v>
      </c>
      <c r="D60" s="26" t="s">
        <v>24</v>
      </c>
      <c r="E60" s="27" t="s">
        <v>31</v>
      </c>
      <c r="F60" s="26" t="s">
        <v>26</v>
      </c>
      <c r="G60" s="26" t="s">
        <v>27</v>
      </c>
      <c r="H60" s="26" t="s">
        <v>248</v>
      </c>
      <c r="I60" s="26" t="s">
        <v>36</v>
      </c>
      <c r="J60" s="26" t="s">
        <v>133</v>
      </c>
      <c r="K60" s="26">
        <v>3385000</v>
      </c>
      <c r="L60" s="26" t="s">
        <v>30</v>
      </c>
      <c r="M60" s="26" t="s">
        <v>249</v>
      </c>
      <c r="N60" s="27" t="s">
        <v>250</v>
      </c>
      <c r="O60" s="28">
        <v>45986</v>
      </c>
      <c r="P60" s="26">
        <v>99</v>
      </c>
      <c r="Q60" s="29" t="s">
        <v>31</v>
      </c>
      <c r="R60" s="30">
        <v>11.599999999999998</v>
      </c>
      <c r="S60" s="29" t="str">
        <f t="shared" si="6"/>
        <v>-</v>
      </c>
      <c r="T60" s="30">
        <f t="shared" si="7"/>
        <v>1148.3999999999999</v>
      </c>
      <c r="U60" s="34">
        <v>45950</v>
      </c>
      <c r="V60" s="31">
        <v>46002</v>
      </c>
      <c r="W60" s="33"/>
      <c r="X60" s="32" t="s">
        <v>32</v>
      </c>
      <c r="Y60" s="33" t="s">
        <v>634</v>
      </c>
      <c r="Z60" s="33" t="s">
        <v>632</v>
      </c>
      <c r="AA60" s="33" t="s">
        <v>636</v>
      </c>
      <c r="AB60" s="33" t="s">
        <v>628</v>
      </c>
    </row>
    <row r="61" spans="1:28" ht="30">
      <c r="A61" s="12" t="str">
        <f>IF('FY_25-26'!$D61="","",IF(OR('FY_25-26'!$D61="BOOHOO LADIES",'FY_25-26'!$D61="PLT",'FY_25-26'!$D61="KM"),"BUSINESS UNIT 1 - KIRAN","BUSINESS UNIT 2 - SHIFALI"))</f>
        <v>BUSINESS UNIT 1 - KIRAN</v>
      </c>
      <c r="B61" s="26">
        <f>IF('FY_25-26'!$C61&lt;&gt;"",ROW()-ROW($B$2),"")</f>
        <v>59</v>
      </c>
      <c r="C61" s="26" t="s">
        <v>60</v>
      </c>
      <c r="D61" s="26" t="s">
        <v>104</v>
      </c>
      <c r="E61" s="27" t="s">
        <v>251</v>
      </c>
      <c r="F61" s="26" t="s">
        <v>26</v>
      </c>
      <c r="G61" s="26" t="s">
        <v>27</v>
      </c>
      <c r="H61" s="26" t="s">
        <v>252</v>
      </c>
      <c r="I61" s="26" t="s">
        <v>36</v>
      </c>
      <c r="J61" s="26" t="s">
        <v>119</v>
      </c>
      <c r="K61" s="26">
        <v>3382413</v>
      </c>
      <c r="L61" s="26" t="s">
        <v>30</v>
      </c>
      <c r="M61" s="26" t="s">
        <v>253</v>
      </c>
      <c r="N61" s="27" t="s">
        <v>254</v>
      </c>
      <c r="O61" s="28">
        <v>45971</v>
      </c>
      <c r="P61" s="26">
        <v>50</v>
      </c>
      <c r="Q61" s="29" t="s">
        <v>31</v>
      </c>
      <c r="R61" s="30">
        <v>16.04</v>
      </c>
      <c r="S61" s="29" t="str">
        <f t="shared" si="6"/>
        <v>-</v>
      </c>
      <c r="T61" s="30">
        <f t="shared" si="7"/>
        <v>802</v>
      </c>
      <c r="U61" s="34">
        <v>45944</v>
      </c>
      <c r="V61" s="31">
        <v>45996</v>
      </c>
      <c r="W61" s="33"/>
      <c r="X61" s="32" t="s">
        <v>40</v>
      </c>
      <c r="Y61" s="33" t="s">
        <v>635</v>
      </c>
      <c r="Z61" s="33" t="s">
        <v>632</v>
      </c>
      <c r="AA61" s="33" t="s">
        <v>636</v>
      </c>
      <c r="AB61" s="33" t="s">
        <v>628</v>
      </c>
    </row>
    <row r="62" spans="1:28" ht="24">
      <c r="A62" s="12" t="str">
        <f>IF('FY_25-26'!$D62="","",IF(OR('FY_25-26'!$D62="BOOHOO LADIES",'FY_25-26'!$D62="PLT",'FY_25-26'!$D62="KM"),"BUSINESS UNIT 1 - KIRAN","BUSINESS UNIT 2 - SHIFALI"))</f>
        <v>BUSINESS UNIT 2 - SHIFALI</v>
      </c>
      <c r="B62" s="26">
        <f>IF('FY_25-26'!$C62&lt;&gt;"",ROW()-ROW($B$2),"")</f>
        <v>60</v>
      </c>
      <c r="C62" s="26" t="s">
        <v>60</v>
      </c>
      <c r="D62" s="26" t="s">
        <v>24</v>
      </c>
      <c r="E62" s="27" t="s">
        <v>31</v>
      </c>
      <c r="F62" s="26" t="s">
        <v>26</v>
      </c>
      <c r="G62" s="26" t="s">
        <v>27</v>
      </c>
      <c r="H62" s="26" t="s">
        <v>255</v>
      </c>
      <c r="I62" s="26" t="s">
        <v>36</v>
      </c>
      <c r="J62" s="26" t="s">
        <v>31</v>
      </c>
      <c r="K62" s="26">
        <v>3385019</v>
      </c>
      <c r="L62" s="26" t="s">
        <v>30</v>
      </c>
      <c r="M62" s="26" t="s">
        <v>256</v>
      </c>
      <c r="N62" s="27" t="s">
        <v>257</v>
      </c>
      <c r="O62" s="28" t="s">
        <v>31</v>
      </c>
      <c r="P62" s="26">
        <v>100</v>
      </c>
      <c r="Q62" s="29" t="s">
        <v>31</v>
      </c>
      <c r="R62" s="30">
        <v>12.5</v>
      </c>
      <c r="S62" s="29" t="str">
        <f t="shared" si="6"/>
        <v>-</v>
      </c>
      <c r="T62" s="30">
        <f t="shared" si="7"/>
        <v>1250</v>
      </c>
      <c r="U62" s="34">
        <v>45930</v>
      </c>
      <c r="V62" s="31" t="s">
        <v>31</v>
      </c>
      <c r="W62" s="33"/>
      <c r="X62" s="32" t="s">
        <v>40</v>
      </c>
      <c r="Y62" s="33" t="s">
        <v>635</v>
      </c>
      <c r="Z62" s="33" t="s">
        <v>632</v>
      </c>
      <c r="AA62" s="33" t="s">
        <v>636</v>
      </c>
      <c r="AB62" s="33" t="s">
        <v>628</v>
      </c>
    </row>
    <row r="63" spans="1:28" ht="24">
      <c r="A63" s="10" t="str">
        <f>IF('FY_25-26'!$D63="","",IF(OR('FY_25-26'!$D63="BOOHOO LADIES",'FY_25-26'!$D63="PLT",'FY_25-26'!$D63="KM"),"BUSINESS UNIT 1 - KIRAN","BUSINESS UNIT 2 - SHIFALI"))</f>
        <v>BUSINESS UNIT 2 - SHIFALI</v>
      </c>
      <c r="B63" s="26">
        <f>IF('FY_25-26'!$C63&lt;&gt;"",ROW()-ROW($B$2),"")</f>
        <v>61</v>
      </c>
      <c r="C63" s="26" t="s">
        <v>60</v>
      </c>
      <c r="D63" s="26" t="s">
        <v>141</v>
      </c>
      <c r="E63" s="27" t="s">
        <v>258</v>
      </c>
      <c r="F63" s="26" t="s">
        <v>26</v>
      </c>
      <c r="G63" s="26" t="s">
        <v>27</v>
      </c>
      <c r="H63" s="26" t="s">
        <v>259</v>
      </c>
      <c r="I63" s="26" t="s">
        <v>36</v>
      </c>
      <c r="J63" s="26" t="s">
        <v>128</v>
      </c>
      <c r="K63" s="26">
        <v>3392897</v>
      </c>
      <c r="L63" s="26" t="s">
        <v>30</v>
      </c>
      <c r="M63" s="26" t="s">
        <v>260</v>
      </c>
      <c r="N63" s="27" t="s">
        <v>261</v>
      </c>
      <c r="O63" s="28">
        <v>45941</v>
      </c>
      <c r="P63" s="26">
        <v>100</v>
      </c>
      <c r="Q63" s="29" t="s">
        <v>31</v>
      </c>
      <c r="R63" s="30">
        <v>20.5</v>
      </c>
      <c r="S63" s="29" t="str">
        <f t="shared" si="6"/>
        <v>-</v>
      </c>
      <c r="T63" s="30">
        <f t="shared" si="7"/>
        <v>2050</v>
      </c>
      <c r="U63" s="34">
        <v>46055</v>
      </c>
      <c r="V63" s="31" t="s">
        <v>31</v>
      </c>
      <c r="W63" s="33"/>
      <c r="X63" s="32" t="s">
        <v>32</v>
      </c>
      <c r="Y63" s="33" t="s">
        <v>634</v>
      </c>
      <c r="Z63" s="33" t="s">
        <v>632</v>
      </c>
      <c r="AA63" s="33" t="s">
        <v>636</v>
      </c>
      <c r="AB63" s="33" t="s">
        <v>628</v>
      </c>
    </row>
    <row r="64" spans="1:28" ht="24">
      <c r="A64" s="10" t="str">
        <f>IF('FY_25-26'!$D64="","",IF(OR('FY_25-26'!$D64="BOOHOO LADIES",'FY_25-26'!$D64="PLT",'FY_25-26'!$D64="KM"),"BUSINESS UNIT 1 - KIRAN","BUSINESS UNIT 2 - SHIFALI"))</f>
        <v>BUSINESS UNIT 2 - SHIFALI</v>
      </c>
      <c r="B64" s="26">
        <f>IF('FY_25-26'!$C64&lt;&gt;"",ROW()-ROW($B$2),"")</f>
        <v>62</v>
      </c>
      <c r="C64" s="26" t="s">
        <v>60</v>
      </c>
      <c r="D64" s="26" t="s">
        <v>141</v>
      </c>
      <c r="E64" s="27" t="s">
        <v>258</v>
      </c>
      <c r="F64" s="26" t="s">
        <v>26</v>
      </c>
      <c r="G64" s="26" t="s">
        <v>27</v>
      </c>
      <c r="H64" s="26" t="s">
        <v>262</v>
      </c>
      <c r="I64" s="26" t="s">
        <v>36</v>
      </c>
      <c r="J64" s="26" t="s">
        <v>29</v>
      </c>
      <c r="K64" s="26">
        <v>3392829</v>
      </c>
      <c r="L64" s="26" t="s">
        <v>30</v>
      </c>
      <c r="M64" s="26" t="s">
        <v>263</v>
      </c>
      <c r="N64" s="27" t="s">
        <v>264</v>
      </c>
      <c r="O64" s="28">
        <v>45941</v>
      </c>
      <c r="P64" s="26">
        <v>100</v>
      </c>
      <c r="Q64" s="29" t="s">
        <v>31</v>
      </c>
      <c r="R64" s="30">
        <v>10.45</v>
      </c>
      <c r="S64" s="29" t="str">
        <f t="shared" si="6"/>
        <v>-</v>
      </c>
      <c r="T64" s="30">
        <f t="shared" si="7"/>
        <v>1045</v>
      </c>
      <c r="U64" s="34">
        <v>46055</v>
      </c>
      <c r="V64" s="31" t="s">
        <v>31</v>
      </c>
      <c r="W64" s="33"/>
      <c r="X64" s="32" t="s">
        <v>32</v>
      </c>
      <c r="Y64" s="33" t="s">
        <v>634</v>
      </c>
      <c r="Z64" s="33" t="s">
        <v>632</v>
      </c>
      <c r="AA64" s="33" t="s">
        <v>636</v>
      </c>
      <c r="AB64" s="33" t="s">
        <v>628</v>
      </c>
    </row>
    <row r="65" spans="1:28" ht="24">
      <c r="A65" s="12" t="str">
        <f>IF('FY_25-26'!$D65="","",IF(OR('FY_25-26'!$D65="BOOHOO LADIES",'FY_25-26'!$D65="PLT",'FY_25-26'!$D65="KM"),"BUSINESS UNIT 1 - KIRAN","BUSINESS UNIT 2 - SHIFALI"))</f>
        <v>BUSINESS UNIT 2 - SHIFALI</v>
      </c>
      <c r="B65" s="26">
        <f>IF('FY_25-26'!$C65&lt;&gt;"",ROW()-ROW($B$2),"")</f>
        <v>63</v>
      </c>
      <c r="C65" s="26" t="s">
        <v>60</v>
      </c>
      <c r="D65" s="26" t="s">
        <v>141</v>
      </c>
      <c r="E65" s="27" t="s">
        <v>258</v>
      </c>
      <c r="F65" s="26" t="s">
        <v>26</v>
      </c>
      <c r="G65" s="26" t="s">
        <v>27</v>
      </c>
      <c r="H65" s="26" t="s">
        <v>265</v>
      </c>
      <c r="I65" s="26" t="s">
        <v>36</v>
      </c>
      <c r="J65" s="26" t="s">
        <v>128</v>
      </c>
      <c r="K65" s="26">
        <v>3392812</v>
      </c>
      <c r="L65" s="26" t="s">
        <v>30</v>
      </c>
      <c r="M65" s="26" t="s">
        <v>266</v>
      </c>
      <c r="N65" s="27" t="s">
        <v>267</v>
      </c>
      <c r="O65" s="28">
        <v>45941</v>
      </c>
      <c r="P65" s="26">
        <v>100</v>
      </c>
      <c r="Q65" s="29" t="s">
        <v>31</v>
      </c>
      <c r="R65" s="30">
        <v>16.8</v>
      </c>
      <c r="S65" s="29" t="str">
        <f t="shared" si="6"/>
        <v>-</v>
      </c>
      <c r="T65" s="30">
        <f t="shared" si="7"/>
        <v>1680</v>
      </c>
      <c r="U65" s="34">
        <v>46055</v>
      </c>
      <c r="V65" s="31" t="s">
        <v>31</v>
      </c>
      <c r="W65" s="33"/>
      <c r="X65" s="32" t="s">
        <v>32</v>
      </c>
      <c r="Y65" s="33" t="s">
        <v>634</v>
      </c>
      <c r="Z65" s="33" t="s">
        <v>632</v>
      </c>
      <c r="AA65" s="33" t="s">
        <v>636</v>
      </c>
      <c r="AB65" s="33" t="s">
        <v>628</v>
      </c>
    </row>
    <row r="66" spans="1:28" ht="24">
      <c r="A66" s="10" t="str">
        <f>IF('FY_25-26'!$D66="","",IF(OR('FY_25-26'!$D66="BOOHOO LADIES",'FY_25-26'!$D66="PLT",'FY_25-26'!$D66="KM"),"BUSINESS UNIT 1 - KIRAN","BUSINESS UNIT 2 - SHIFALI"))</f>
        <v>BUSINESS UNIT 2 - SHIFALI</v>
      </c>
      <c r="B66" s="26">
        <f>IF('FY_25-26'!$C66&lt;&gt;"",ROW()-ROW($B$2),"")</f>
        <v>64</v>
      </c>
      <c r="C66" s="26" t="s">
        <v>139</v>
      </c>
      <c r="D66" s="26" t="s">
        <v>116</v>
      </c>
      <c r="E66" s="27" t="s">
        <v>148</v>
      </c>
      <c r="F66" s="26" t="s">
        <v>26</v>
      </c>
      <c r="G66" s="26" t="s">
        <v>27</v>
      </c>
      <c r="H66" s="26" t="s">
        <v>268</v>
      </c>
      <c r="I66" s="26" t="s">
        <v>36</v>
      </c>
      <c r="J66" s="26" t="s">
        <v>269</v>
      </c>
      <c r="K66" s="26">
        <v>3389729</v>
      </c>
      <c r="L66" s="26" t="s">
        <v>30</v>
      </c>
      <c r="M66" s="26" t="s">
        <v>270</v>
      </c>
      <c r="N66" s="27" t="s">
        <v>271</v>
      </c>
      <c r="O66" s="28">
        <v>45944</v>
      </c>
      <c r="P66" s="26">
        <v>300</v>
      </c>
      <c r="Q66" s="29">
        <v>10.4</v>
      </c>
      <c r="R66" s="30" t="s">
        <v>31</v>
      </c>
      <c r="S66" s="29">
        <f t="shared" si="6"/>
        <v>3120</v>
      </c>
      <c r="T66" s="30" t="str">
        <f t="shared" si="7"/>
        <v>-</v>
      </c>
      <c r="U66" s="34">
        <v>46027</v>
      </c>
      <c r="V66" s="31" t="s">
        <v>31</v>
      </c>
      <c r="W66" s="33"/>
      <c r="X66" s="32" t="s">
        <v>32</v>
      </c>
      <c r="Y66" s="33" t="s">
        <v>634</v>
      </c>
      <c r="Z66" s="33" t="s">
        <v>632</v>
      </c>
      <c r="AA66" s="33" t="s">
        <v>636</v>
      </c>
      <c r="AB66" s="33" t="s">
        <v>628</v>
      </c>
    </row>
    <row r="67" spans="1:28" ht="30">
      <c r="A67" s="12" t="str">
        <f>IF('FY_25-26'!$D67="","",IF(OR('FY_25-26'!$D67="BOOHOO LADIES",'FY_25-26'!$D67="PLT",'FY_25-26'!$D67="KM"),"BUSINESS UNIT 1 - KIRAN","BUSINESS UNIT 2 - SHIFALI"))</f>
        <v>BUSINESS UNIT 2 - SHIFALI</v>
      </c>
      <c r="B67" s="26">
        <f>IF('FY_25-26'!$C67&lt;&gt;"",ROW()-ROW($B$2),"")</f>
        <v>65</v>
      </c>
      <c r="C67" s="26" t="s">
        <v>139</v>
      </c>
      <c r="D67" s="26" t="s">
        <v>116</v>
      </c>
      <c r="E67" s="27" t="s">
        <v>117</v>
      </c>
      <c r="F67" s="26" t="s">
        <v>26</v>
      </c>
      <c r="G67" s="26" t="s">
        <v>27</v>
      </c>
      <c r="H67" s="26" t="s">
        <v>272</v>
      </c>
      <c r="I67" s="26" t="s">
        <v>36</v>
      </c>
      <c r="J67" s="26" t="s">
        <v>43</v>
      </c>
      <c r="K67" s="26">
        <v>3391416</v>
      </c>
      <c r="L67" s="26" t="s">
        <v>30</v>
      </c>
      <c r="M67" s="26" t="s">
        <v>273</v>
      </c>
      <c r="N67" s="27" t="s">
        <v>274</v>
      </c>
      <c r="O67" s="28">
        <v>45944</v>
      </c>
      <c r="P67" s="26">
        <v>200</v>
      </c>
      <c r="Q67" s="29">
        <v>10.75</v>
      </c>
      <c r="R67" s="30" t="s">
        <v>31</v>
      </c>
      <c r="S67" s="29">
        <f t="shared" si="6"/>
        <v>2150</v>
      </c>
      <c r="T67" s="30" t="str">
        <f t="shared" si="7"/>
        <v>-</v>
      </c>
      <c r="U67" s="34">
        <v>46046</v>
      </c>
      <c r="V67" s="31" t="s">
        <v>31</v>
      </c>
      <c r="W67" s="33"/>
      <c r="X67" s="32" t="s">
        <v>32</v>
      </c>
      <c r="Y67" s="33" t="s">
        <v>634</v>
      </c>
      <c r="Z67" s="33" t="s">
        <v>632</v>
      </c>
      <c r="AA67" s="33" t="s">
        <v>636</v>
      </c>
      <c r="AB67" s="33" t="s">
        <v>628</v>
      </c>
    </row>
    <row r="68" spans="1:28" ht="24">
      <c r="A68" s="12" t="str">
        <f>IF('FY_25-26'!$D68="","",IF(OR('FY_25-26'!$D68="BOOHOO LADIES",'FY_25-26'!$D68="PLT",'FY_25-26'!$D68="KM"),"BUSINESS UNIT 1 - KIRAN","BUSINESS UNIT 2 - SHIFALI"))</f>
        <v>BUSINESS UNIT 2 - SHIFALI</v>
      </c>
      <c r="B68" s="26">
        <f>IF('FY_25-26'!$C68&lt;&gt;"",ROW()-ROW($B$2),"")</f>
        <v>66</v>
      </c>
      <c r="C68" s="26" t="s">
        <v>139</v>
      </c>
      <c r="D68" s="26" t="s">
        <v>116</v>
      </c>
      <c r="E68" s="27" t="s">
        <v>117</v>
      </c>
      <c r="F68" s="26" t="s">
        <v>26</v>
      </c>
      <c r="G68" s="26" t="s">
        <v>27</v>
      </c>
      <c r="H68" s="26" t="s">
        <v>275</v>
      </c>
      <c r="I68" s="26" t="s">
        <v>36</v>
      </c>
      <c r="J68" s="26" t="s">
        <v>43</v>
      </c>
      <c r="K68" s="26">
        <v>3391392</v>
      </c>
      <c r="L68" s="26" t="s">
        <v>30</v>
      </c>
      <c r="M68" s="26" t="s">
        <v>276</v>
      </c>
      <c r="N68" s="27" t="s">
        <v>277</v>
      </c>
      <c r="O68" s="28">
        <v>45944</v>
      </c>
      <c r="P68" s="26">
        <v>200</v>
      </c>
      <c r="Q68" s="29">
        <v>13.5</v>
      </c>
      <c r="R68" s="30" t="s">
        <v>31</v>
      </c>
      <c r="S68" s="29">
        <f t="shared" si="6"/>
        <v>2700</v>
      </c>
      <c r="T68" s="30" t="str">
        <f t="shared" si="7"/>
        <v>-</v>
      </c>
      <c r="U68" s="34">
        <v>46046</v>
      </c>
      <c r="V68" s="31" t="s">
        <v>31</v>
      </c>
      <c r="W68" s="33"/>
      <c r="X68" s="32" t="s">
        <v>32</v>
      </c>
      <c r="Y68" s="33" t="s">
        <v>634</v>
      </c>
      <c r="Z68" s="33" t="s">
        <v>632</v>
      </c>
      <c r="AA68" s="33" t="s">
        <v>636</v>
      </c>
      <c r="AB68" s="33" t="s">
        <v>628</v>
      </c>
    </row>
    <row r="69" spans="1:28" ht="30">
      <c r="A69" s="12" t="str">
        <f>IF('FY_25-26'!$D69="","",IF(OR('FY_25-26'!$D69="BOOHOO LADIES",'FY_25-26'!$D69="PLT",'FY_25-26'!$D69="KM"),"BUSINESS UNIT 1 - KIRAN","BUSINESS UNIT 2 - SHIFALI"))</f>
        <v>BUSINESS UNIT 2 - SHIFALI</v>
      </c>
      <c r="B69" s="26">
        <f>IF('FY_25-26'!$C69&lt;&gt;"",ROW()-ROW($B$2),"")</f>
        <v>67</v>
      </c>
      <c r="C69" s="26" t="s">
        <v>139</v>
      </c>
      <c r="D69" s="26" t="s">
        <v>116</v>
      </c>
      <c r="E69" s="27" t="s">
        <v>117</v>
      </c>
      <c r="F69" s="26" t="s">
        <v>26</v>
      </c>
      <c r="G69" s="26" t="s">
        <v>27</v>
      </c>
      <c r="H69" s="26" t="s">
        <v>278</v>
      </c>
      <c r="I69" s="26" t="s">
        <v>36</v>
      </c>
      <c r="J69" s="26" t="s">
        <v>118</v>
      </c>
      <c r="K69" s="26">
        <v>3391393</v>
      </c>
      <c r="L69" s="26" t="s">
        <v>30</v>
      </c>
      <c r="M69" s="26" t="s">
        <v>279</v>
      </c>
      <c r="N69" s="27" t="s">
        <v>280</v>
      </c>
      <c r="O69" s="28">
        <v>45944</v>
      </c>
      <c r="P69" s="26">
        <v>200</v>
      </c>
      <c r="Q69" s="29">
        <v>10.75</v>
      </c>
      <c r="R69" s="30" t="s">
        <v>31</v>
      </c>
      <c r="S69" s="29">
        <f t="shared" si="6"/>
        <v>2150</v>
      </c>
      <c r="T69" s="30" t="str">
        <f t="shared" si="7"/>
        <v>-</v>
      </c>
      <c r="U69" s="34">
        <v>46046</v>
      </c>
      <c r="V69" s="31" t="s">
        <v>31</v>
      </c>
      <c r="W69" s="33"/>
      <c r="X69" s="32" t="s">
        <v>32</v>
      </c>
      <c r="Y69" s="33" t="s">
        <v>634</v>
      </c>
      <c r="Z69" s="33" t="s">
        <v>632</v>
      </c>
      <c r="AA69" s="33" t="s">
        <v>636</v>
      </c>
      <c r="AB69" s="33" t="s">
        <v>628</v>
      </c>
    </row>
    <row r="70" spans="1:28" ht="30">
      <c r="A70" s="12" t="str">
        <f>IF('FY_25-26'!$D70="","",IF(OR('FY_25-26'!$D70="BOOHOO LADIES",'FY_25-26'!$D70="PLT",'FY_25-26'!$D70="KM"),"BUSINESS UNIT 1 - KIRAN","BUSINESS UNIT 2 - SHIFALI"))</f>
        <v>BUSINESS UNIT 2 - SHIFALI</v>
      </c>
      <c r="B70" s="26">
        <f>IF('FY_25-26'!$C70&lt;&gt;"",ROW()-ROW($B$2),"")</f>
        <v>68</v>
      </c>
      <c r="C70" s="26" t="s">
        <v>139</v>
      </c>
      <c r="D70" s="26" t="s">
        <v>116</v>
      </c>
      <c r="E70" s="27" t="s">
        <v>117</v>
      </c>
      <c r="F70" s="26" t="s">
        <v>26</v>
      </c>
      <c r="G70" s="26" t="s">
        <v>27</v>
      </c>
      <c r="H70" s="26" t="s">
        <v>281</v>
      </c>
      <c r="I70" s="26" t="s">
        <v>36</v>
      </c>
      <c r="J70" s="26" t="s">
        <v>29</v>
      </c>
      <c r="K70" s="26">
        <v>3391396</v>
      </c>
      <c r="L70" s="26" t="s">
        <v>30</v>
      </c>
      <c r="M70" s="26" t="s">
        <v>282</v>
      </c>
      <c r="N70" s="27" t="s">
        <v>283</v>
      </c>
      <c r="O70" s="28">
        <v>45944</v>
      </c>
      <c r="P70" s="26">
        <v>200</v>
      </c>
      <c r="Q70" s="29">
        <v>11</v>
      </c>
      <c r="R70" s="30" t="s">
        <v>31</v>
      </c>
      <c r="S70" s="29">
        <f t="shared" si="6"/>
        <v>2200</v>
      </c>
      <c r="T70" s="30" t="str">
        <f t="shared" si="7"/>
        <v>-</v>
      </c>
      <c r="U70" s="34">
        <v>46046</v>
      </c>
      <c r="V70" s="31" t="s">
        <v>31</v>
      </c>
      <c r="W70" s="33"/>
      <c r="X70" s="32" t="s">
        <v>32</v>
      </c>
      <c r="Y70" s="33" t="s">
        <v>634</v>
      </c>
      <c r="Z70" s="33" t="s">
        <v>632</v>
      </c>
      <c r="AA70" s="33" t="s">
        <v>636</v>
      </c>
      <c r="AB70" s="33" t="s">
        <v>628</v>
      </c>
    </row>
    <row r="71" spans="1:28" ht="30">
      <c r="A71" s="12" t="str">
        <f>IF('FY_25-26'!$D71="","",IF(OR('FY_25-26'!$D71="BOOHOO LADIES",'FY_25-26'!$D71="PLT",'FY_25-26'!$D71="KM"),"BUSINESS UNIT 1 - KIRAN","BUSINESS UNIT 2 - SHIFALI"))</f>
        <v>BUSINESS UNIT 2 - SHIFALI</v>
      </c>
      <c r="B71" s="26">
        <f>IF('FY_25-26'!$C71&lt;&gt;"",ROW()-ROW($B$2),"")</f>
        <v>69</v>
      </c>
      <c r="C71" s="26" t="s">
        <v>139</v>
      </c>
      <c r="D71" s="26" t="s">
        <v>116</v>
      </c>
      <c r="E71" s="27" t="s">
        <v>117</v>
      </c>
      <c r="F71" s="26" t="s">
        <v>26</v>
      </c>
      <c r="G71" s="26" t="s">
        <v>27</v>
      </c>
      <c r="H71" s="26" t="s">
        <v>284</v>
      </c>
      <c r="I71" s="26" t="s">
        <v>36</v>
      </c>
      <c r="J71" s="26" t="s">
        <v>100</v>
      </c>
      <c r="K71" s="26">
        <v>3391397</v>
      </c>
      <c r="L71" s="26" t="s">
        <v>30</v>
      </c>
      <c r="M71" s="26" t="s">
        <v>285</v>
      </c>
      <c r="N71" s="27" t="s">
        <v>286</v>
      </c>
      <c r="O71" s="28">
        <v>45944</v>
      </c>
      <c r="P71" s="26">
        <v>300</v>
      </c>
      <c r="Q71" s="29">
        <v>12.5</v>
      </c>
      <c r="R71" s="30" t="s">
        <v>31</v>
      </c>
      <c r="S71" s="29">
        <f t="shared" si="6"/>
        <v>3750</v>
      </c>
      <c r="T71" s="30" t="str">
        <f t="shared" si="7"/>
        <v>-</v>
      </c>
      <c r="U71" s="34">
        <v>46046</v>
      </c>
      <c r="V71" s="31" t="s">
        <v>31</v>
      </c>
      <c r="W71" s="33"/>
      <c r="X71" s="32" t="s">
        <v>32</v>
      </c>
      <c r="Y71" s="33" t="s">
        <v>634</v>
      </c>
      <c r="Z71" s="33" t="s">
        <v>632</v>
      </c>
      <c r="AA71" s="33" t="s">
        <v>636</v>
      </c>
      <c r="AB71" s="33" t="s">
        <v>628</v>
      </c>
    </row>
    <row r="72" spans="1:28" ht="24">
      <c r="A72" s="10" t="str">
        <f>IF('FY_25-26'!$D72="","",IF(OR('FY_25-26'!$D72="BOOHOO LADIES",'FY_25-26'!$D72="PLT",'FY_25-26'!$D72="KM"),"BUSINESS UNIT 1 - KIRAN","BUSINESS UNIT 2 - SHIFALI"))</f>
        <v>BUSINESS UNIT 2 - SHIFALI</v>
      </c>
      <c r="B72" s="26">
        <f>IF('FY_25-26'!$C72&lt;&gt;"",ROW()-ROW($B$2),"")</f>
        <v>70</v>
      </c>
      <c r="C72" s="26" t="s">
        <v>60</v>
      </c>
      <c r="D72" s="26" t="s">
        <v>34</v>
      </c>
      <c r="E72" s="27" t="s">
        <v>147</v>
      </c>
      <c r="F72" s="26" t="s">
        <v>26</v>
      </c>
      <c r="G72" s="26" t="s">
        <v>27</v>
      </c>
      <c r="H72" s="26" t="s">
        <v>290</v>
      </c>
      <c r="I72" s="26" t="s">
        <v>36</v>
      </c>
      <c r="J72" s="26" t="s">
        <v>84</v>
      </c>
      <c r="K72" s="26">
        <v>3394013</v>
      </c>
      <c r="L72" s="26" t="s">
        <v>30</v>
      </c>
      <c r="M72" s="26" t="s">
        <v>291</v>
      </c>
      <c r="N72" s="27" t="s">
        <v>292</v>
      </c>
      <c r="O72" s="28">
        <v>45945</v>
      </c>
      <c r="P72" s="26">
        <v>151</v>
      </c>
      <c r="Q72" s="29" t="s">
        <v>31</v>
      </c>
      <c r="R72" s="30">
        <v>11</v>
      </c>
      <c r="S72" s="29" t="str">
        <f t="shared" ref="S72:S75" si="8">IF($Q72="","",IF($Q72="-","-",$P72*$Q72))</f>
        <v>-</v>
      </c>
      <c r="T72" s="30">
        <f t="shared" ref="T72:T75" si="9">IF($R72="","",IF($R72="-","-",$P72*$R72))</f>
        <v>1661</v>
      </c>
      <c r="U72" s="34">
        <v>46042</v>
      </c>
      <c r="V72" s="31" t="s">
        <v>31</v>
      </c>
      <c r="W72" s="33"/>
      <c r="X72" s="32" t="s">
        <v>40</v>
      </c>
      <c r="Y72" s="33" t="s">
        <v>635</v>
      </c>
      <c r="Z72" s="33" t="s">
        <v>632</v>
      </c>
      <c r="AA72" s="33" t="s">
        <v>636</v>
      </c>
      <c r="AB72" s="33" t="s">
        <v>628</v>
      </c>
    </row>
    <row r="73" spans="1:28" ht="24">
      <c r="A73" s="12" t="str">
        <f>IF('FY_25-26'!$D73="","",IF(OR('FY_25-26'!$D73="BOOHOO LADIES",'FY_25-26'!$D73="PLT",'FY_25-26'!$D73="KM"),"BUSINESS UNIT 1 - KIRAN","BUSINESS UNIT 2 - SHIFALI"))</f>
        <v>BUSINESS UNIT 2 - SHIFALI</v>
      </c>
      <c r="B73" s="26">
        <f>IF('FY_25-26'!$C73&lt;&gt;"",ROW()-ROW($B$2),"")</f>
        <v>71</v>
      </c>
      <c r="C73" s="26" t="s">
        <v>60</v>
      </c>
      <c r="D73" s="26" t="s">
        <v>34</v>
      </c>
      <c r="E73" s="27" t="s">
        <v>147</v>
      </c>
      <c r="F73" s="26" t="s">
        <v>26</v>
      </c>
      <c r="G73" s="26" t="s">
        <v>27</v>
      </c>
      <c r="H73" s="26" t="s">
        <v>290</v>
      </c>
      <c r="I73" s="26" t="s">
        <v>36</v>
      </c>
      <c r="J73" s="26" t="s">
        <v>231</v>
      </c>
      <c r="K73" s="26">
        <v>3394013</v>
      </c>
      <c r="L73" s="26" t="s">
        <v>30</v>
      </c>
      <c r="M73" s="26" t="s">
        <v>291</v>
      </c>
      <c r="N73" s="27" t="s">
        <v>292</v>
      </c>
      <c r="O73" s="28">
        <v>45945</v>
      </c>
      <c r="P73" s="26">
        <v>151</v>
      </c>
      <c r="Q73" s="29" t="s">
        <v>31</v>
      </c>
      <c r="R73" s="30">
        <v>11</v>
      </c>
      <c r="S73" s="29" t="str">
        <f t="shared" si="8"/>
        <v>-</v>
      </c>
      <c r="T73" s="30">
        <f t="shared" si="9"/>
        <v>1661</v>
      </c>
      <c r="U73" s="34">
        <v>46042</v>
      </c>
      <c r="V73" s="31" t="s">
        <v>31</v>
      </c>
      <c r="W73" s="33"/>
      <c r="X73" s="32" t="s">
        <v>40</v>
      </c>
      <c r="Y73" s="33" t="s">
        <v>635</v>
      </c>
      <c r="Z73" s="33" t="s">
        <v>632</v>
      </c>
      <c r="AA73" s="33" t="s">
        <v>636</v>
      </c>
      <c r="AB73" s="33" t="s">
        <v>628</v>
      </c>
    </row>
    <row r="74" spans="1:28" ht="24">
      <c r="A74" s="12" t="str">
        <f>IF('FY_25-26'!$D74="","",IF(OR('FY_25-26'!$D74="BOOHOO LADIES",'FY_25-26'!$D74="PLT",'FY_25-26'!$D74="KM"),"BUSINESS UNIT 1 - KIRAN","BUSINESS UNIT 2 - SHIFALI"))</f>
        <v>BUSINESS UNIT 2 - SHIFALI</v>
      </c>
      <c r="B74" s="26">
        <f>IF('FY_25-26'!$C74&lt;&gt;"",ROW()-ROW($B$2),"")</f>
        <v>72</v>
      </c>
      <c r="C74" s="26" t="s">
        <v>60</v>
      </c>
      <c r="D74" s="26" t="s">
        <v>34</v>
      </c>
      <c r="E74" s="27" t="s">
        <v>147</v>
      </c>
      <c r="F74" s="26" t="s">
        <v>26</v>
      </c>
      <c r="G74" s="26" t="s">
        <v>27</v>
      </c>
      <c r="H74" s="26" t="s">
        <v>290</v>
      </c>
      <c r="I74" s="26" t="s">
        <v>36</v>
      </c>
      <c r="J74" s="26" t="s">
        <v>41</v>
      </c>
      <c r="K74" s="26">
        <v>3394013</v>
      </c>
      <c r="L74" s="26" t="s">
        <v>30</v>
      </c>
      <c r="M74" s="26" t="s">
        <v>291</v>
      </c>
      <c r="N74" s="27" t="s">
        <v>292</v>
      </c>
      <c r="O74" s="28">
        <v>45945</v>
      </c>
      <c r="P74" s="26">
        <v>151</v>
      </c>
      <c r="Q74" s="29" t="s">
        <v>31</v>
      </c>
      <c r="R74" s="30">
        <v>11</v>
      </c>
      <c r="S74" s="29" t="str">
        <f t="shared" si="8"/>
        <v>-</v>
      </c>
      <c r="T74" s="30">
        <f t="shared" si="9"/>
        <v>1661</v>
      </c>
      <c r="U74" s="34">
        <v>46042</v>
      </c>
      <c r="V74" s="31" t="s">
        <v>31</v>
      </c>
      <c r="W74" s="33"/>
      <c r="X74" s="32" t="s">
        <v>40</v>
      </c>
      <c r="Y74" s="33" t="s">
        <v>635</v>
      </c>
      <c r="Z74" s="33" t="s">
        <v>632</v>
      </c>
      <c r="AA74" s="33" t="s">
        <v>636</v>
      </c>
      <c r="AB74" s="33" t="s">
        <v>628</v>
      </c>
    </row>
    <row r="75" spans="1:28" ht="30">
      <c r="A75" s="10" t="str">
        <f>IF('FY_25-26'!$D75="","",IF(OR('FY_25-26'!$D75="BOOHOO LADIES",'FY_25-26'!$D75="PLT",'FY_25-26'!$D75="KM"),"BUSINESS UNIT 1 - KIRAN","BUSINESS UNIT 2 - SHIFALI"))</f>
        <v>BUSINESS UNIT 2 - SHIFALI</v>
      </c>
      <c r="B75" s="26">
        <f>IF('FY_25-26'!$C75&lt;&gt;"",ROW()-ROW($B$2),"")</f>
        <v>73</v>
      </c>
      <c r="C75" s="26" t="s">
        <v>33</v>
      </c>
      <c r="D75" s="26" t="s">
        <v>34</v>
      </c>
      <c r="E75" s="27" t="s">
        <v>35</v>
      </c>
      <c r="F75" s="26" t="s">
        <v>26</v>
      </c>
      <c r="G75" s="26" t="s">
        <v>27</v>
      </c>
      <c r="H75" s="26" t="s">
        <v>293</v>
      </c>
      <c r="I75" s="26" t="s">
        <v>36</v>
      </c>
      <c r="J75" s="26" t="s">
        <v>44</v>
      </c>
      <c r="K75" s="26">
        <v>3394465</v>
      </c>
      <c r="L75" s="26" t="s">
        <v>30</v>
      </c>
      <c r="M75" s="26" t="s">
        <v>294</v>
      </c>
      <c r="N75" s="27" t="s">
        <v>295</v>
      </c>
      <c r="O75" s="28">
        <v>45947</v>
      </c>
      <c r="P75" s="26">
        <v>100</v>
      </c>
      <c r="Q75" s="29" t="s">
        <v>31</v>
      </c>
      <c r="R75" s="30">
        <v>33.5</v>
      </c>
      <c r="S75" s="29" t="str">
        <f t="shared" si="8"/>
        <v>-</v>
      </c>
      <c r="T75" s="30">
        <f t="shared" si="9"/>
        <v>3350</v>
      </c>
      <c r="U75" s="34">
        <v>46031</v>
      </c>
      <c r="V75" s="31" t="s">
        <v>31</v>
      </c>
      <c r="W75" s="33"/>
      <c r="X75" s="32" t="s">
        <v>32</v>
      </c>
      <c r="Y75" s="33" t="s">
        <v>634</v>
      </c>
      <c r="Z75" s="33" t="s">
        <v>632</v>
      </c>
      <c r="AA75" s="33" t="s">
        <v>636</v>
      </c>
      <c r="AB75" s="33" t="s">
        <v>628</v>
      </c>
    </row>
    <row r="76" spans="1:28" ht="24">
      <c r="A76" s="12" t="str">
        <f>IF('FY_25-26'!$D76="","",IF(OR('FY_25-26'!$D76="BOOHOO LADIES",'FY_25-26'!$D76="PLT",'FY_25-26'!$D76="KM"),"BUSINESS UNIT 1 - KIRAN","BUSINESS UNIT 2 - SHIFALI"))</f>
        <v>BUSINESS UNIT 1 - KIRAN</v>
      </c>
      <c r="B76" s="26">
        <f>IF('FY_25-26'!$C76&lt;&gt;"",ROW()-ROW($B$2),"")</f>
        <v>74</v>
      </c>
      <c r="C76" s="26" t="s">
        <v>70</v>
      </c>
      <c r="D76" s="26" t="s">
        <v>150</v>
      </c>
      <c r="E76" s="27" t="s">
        <v>297</v>
      </c>
      <c r="F76" s="26" t="s">
        <v>26</v>
      </c>
      <c r="G76" s="26" t="s">
        <v>27</v>
      </c>
      <c r="H76" s="26" t="s">
        <v>299</v>
      </c>
      <c r="I76" s="26" t="s">
        <v>36</v>
      </c>
      <c r="J76" s="26" t="s">
        <v>138</v>
      </c>
      <c r="K76" s="26">
        <v>3395433</v>
      </c>
      <c r="L76" s="26" t="s">
        <v>30</v>
      </c>
      <c r="M76" s="26" t="s">
        <v>300</v>
      </c>
      <c r="N76" s="27" t="s">
        <v>301</v>
      </c>
      <c r="O76" s="28">
        <v>45947</v>
      </c>
      <c r="P76" s="26">
        <v>300</v>
      </c>
      <c r="Q76" s="29" t="s">
        <v>31</v>
      </c>
      <c r="R76" s="30">
        <v>5.5</v>
      </c>
      <c r="S76" s="29" t="str">
        <f t="shared" ref="S76:S94" si="10">IF($Q76="","",IF($Q76="-","-",$P76*$Q76))</f>
        <v>-</v>
      </c>
      <c r="T76" s="30">
        <f t="shared" ref="T76:T94" si="11">IF($R76="","",IF($R76="-","-",$P76*$R76))</f>
        <v>1650</v>
      </c>
      <c r="U76" s="34">
        <v>46072</v>
      </c>
      <c r="V76" s="31" t="s">
        <v>31</v>
      </c>
      <c r="W76" s="33"/>
      <c r="X76" s="32" t="s">
        <v>40</v>
      </c>
      <c r="Y76" s="33" t="s">
        <v>635</v>
      </c>
      <c r="Z76" s="33" t="s">
        <v>632</v>
      </c>
      <c r="AA76" s="33" t="s">
        <v>636</v>
      </c>
      <c r="AB76" s="33" t="s">
        <v>628</v>
      </c>
    </row>
    <row r="77" spans="1:28" ht="24">
      <c r="A77" s="12" t="str">
        <f>IF('FY_25-26'!$D77="","",IF(OR('FY_25-26'!$D77="BOOHOO LADIES",'FY_25-26'!$D77="PLT",'FY_25-26'!$D77="KM"),"BUSINESS UNIT 1 - KIRAN","BUSINESS UNIT 2 - SHIFALI"))</f>
        <v>BUSINESS UNIT 1 - KIRAN</v>
      </c>
      <c r="B77" s="26">
        <f>IF('FY_25-26'!$C77&lt;&gt;"",ROW()-ROW($B$2),"")</f>
        <v>75</v>
      </c>
      <c r="C77" s="26" t="s">
        <v>70</v>
      </c>
      <c r="D77" s="26" t="s">
        <v>150</v>
      </c>
      <c r="E77" s="27" t="s">
        <v>297</v>
      </c>
      <c r="F77" s="26" t="s">
        <v>26</v>
      </c>
      <c r="G77" s="26" t="s">
        <v>27</v>
      </c>
      <c r="H77" s="26" t="s">
        <v>302</v>
      </c>
      <c r="I77" s="26" t="s">
        <v>36</v>
      </c>
      <c r="J77" s="26" t="s">
        <v>29</v>
      </c>
      <c r="K77" s="26">
        <v>3395508</v>
      </c>
      <c r="L77" s="26" t="s">
        <v>30</v>
      </c>
      <c r="M77" s="26" t="s">
        <v>303</v>
      </c>
      <c r="N77" s="27" t="s">
        <v>304</v>
      </c>
      <c r="O77" s="28">
        <v>45947</v>
      </c>
      <c r="P77" s="26">
        <v>350</v>
      </c>
      <c r="Q77" s="29" t="s">
        <v>31</v>
      </c>
      <c r="R77" s="30">
        <v>5.0999999999999996</v>
      </c>
      <c r="S77" s="29" t="str">
        <f t="shared" si="10"/>
        <v>-</v>
      </c>
      <c r="T77" s="30">
        <f t="shared" si="11"/>
        <v>1784.9999999999998</v>
      </c>
      <c r="U77" s="34">
        <v>46111</v>
      </c>
      <c r="V77" s="31" t="s">
        <v>31</v>
      </c>
      <c r="W77" s="33"/>
      <c r="X77" s="32" t="s">
        <v>40</v>
      </c>
      <c r="Y77" s="33" t="s">
        <v>635</v>
      </c>
      <c r="Z77" s="33" t="s">
        <v>632</v>
      </c>
      <c r="AA77" s="33" t="s">
        <v>636</v>
      </c>
      <c r="AB77" s="33" t="s">
        <v>628</v>
      </c>
    </row>
    <row r="78" spans="1:28" ht="30">
      <c r="A78" s="12" t="str">
        <f>IF('FY_25-26'!$D78="","",IF(OR('FY_25-26'!$D78="BOOHOO LADIES",'FY_25-26'!$D78="PLT",'FY_25-26'!$D78="KM"),"BUSINESS UNIT 1 - KIRAN","BUSINESS UNIT 2 - SHIFALI"))</f>
        <v>BUSINESS UNIT 1 - KIRAN</v>
      </c>
      <c r="B78" s="26">
        <f>IF('FY_25-26'!$C78&lt;&gt;"",ROW()-ROW($B$2),"")</f>
        <v>76</v>
      </c>
      <c r="C78" s="26" t="s">
        <v>70</v>
      </c>
      <c r="D78" s="26" t="s">
        <v>150</v>
      </c>
      <c r="E78" s="27" t="s">
        <v>297</v>
      </c>
      <c r="F78" s="26" t="s">
        <v>26</v>
      </c>
      <c r="G78" s="26" t="s">
        <v>27</v>
      </c>
      <c r="H78" s="26" t="s">
        <v>305</v>
      </c>
      <c r="I78" s="26" t="s">
        <v>36</v>
      </c>
      <c r="J78" s="26" t="s">
        <v>29</v>
      </c>
      <c r="K78" s="26">
        <v>3395457</v>
      </c>
      <c r="L78" s="26" t="s">
        <v>30</v>
      </c>
      <c r="M78" s="26" t="s">
        <v>306</v>
      </c>
      <c r="N78" s="27" t="s">
        <v>307</v>
      </c>
      <c r="O78" s="28">
        <v>45947</v>
      </c>
      <c r="P78" s="26">
        <v>301</v>
      </c>
      <c r="Q78" s="29" t="s">
        <v>31</v>
      </c>
      <c r="R78" s="30">
        <v>6</v>
      </c>
      <c r="S78" s="29" t="str">
        <f t="shared" si="10"/>
        <v>-</v>
      </c>
      <c r="T78" s="30">
        <f t="shared" si="11"/>
        <v>1806</v>
      </c>
      <c r="U78" s="34">
        <v>46125</v>
      </c>
      <c r="V78" s="31" t="s">
        <v>31</v>
      </c>
      <c r="W78" s="33"/>
      <c r="X78" s="32" t="s">
        <v>40</v>
      </c>
      <c r="Y78" s="33" t="s">
        <v>635</v>
      </c>
      <c r="Z78" s="33" t="s">
        <v>632</v>
      </c>
      <c r="AA78" s="33" t="s">
        <v>636</v>
      </c>
      <c r="AB78" s="33" t="s">
        <v>628</v>
      </c>
    </row>
    <row r="79" spans="1:28" ht="24">
      <c r="A79" s="12" t="str">
        <f>IF('FY_25-26'!$D79="","",IF(OR('FY_25-26'!$D79="BOOHOO LADIES",'FY_25-26'!$D79="PLT",'FY_25-26'!$D79="KM"),"BUSINESS UNIT 1 - KIRAN","BUSINESS UNIT 2 - SHIFALI"))</f>
        <v>BUSINESS UNIT 1 - KIRAN</v>
      </c>
      <c r="B79" s="26">
        <f>IF('FY_25-26'!$C79&lt;&gt;"",ROW()-ROW($B$2),"")</f>
        <v>77</v>
      </c>
      <c r="C79" s="26" t="s">
        <v>70</v>
      </c>
      <c r="D79" s="26" t="s">
        <v>150</v>
      </c>
      <c r="E79" s="27" t="s">
        <v>297</v>
      </c>
      <c r="F79" s="26" t="s">
        <v>26</v>
      </c>
      <c r="G79" s="26" t="s">
        <v>27</v>
      </c>
      <c r="H79" s="26" t="s">
        <v>308</v>
      </c>
      <c r="I79" s="26" t="s">
        <v>36</v>
      </c>
      <c r="J79" s="26" t="s">
        <v>29</v>
      </c>
      <c r="K79" s="26">
        <v>3395447</v>
      </c>
      <c r="L79" s="26" t="s">
        <v>30</v>
      </c>
      <c r="M79" s="26" t="s">
        <v>309</v>
      </c>
      <c r="N79" s="27" t="s">
        <v>310</v>
      </c>
      <c r="O79" s="28">
        <v>45947</v>
      </c>
      <c r="P79" s="26">
        <v>201</v>
      </c>
      <c r="Q79" s="29" t="s">
        <v>31</v>
      </c>
      <c r="R79" s="30">
        <v>6.6</v>
      </c>
      <c r="S79" s="29" t="str">
        <f t="shared" si="10"/>
        <v>-</v>
      </c>
      <c r="T79" s="30">
        <f t="shared" si="11"/>
        <v>1326.6</v>
      </c>
      <c r="U79" s="34">
        <v>46072</v>
      </c>
      <c r="V79" s="31" t="s">
        <v>31</v>
      </c>
      <c r="W79" s="33"/>
      <c r="X79" s="32" t="s">
        <v>40</v>
      </c>
      <c r="Y79" s="33" t="s">
        <v>635</v>
      </c>
      <c r="Z79" s="33" t="s">
        <v>632</v>
      </c>
      <c r="AA79" s="33" t="s">
        <v>636</v>
      </c>
      <c r="AB79" s="33" t="s">
        <v>628</v>
      </c>
    </row>
    <row r="80" spans="1:28" ht="30">
      <c r="A80" s="12" t="str">
        <f>IF('FY_25-26'!$D80="","",IF(OR('FY_25-26'!$D80="BOOHOO LADIES",'FY_25-26'!$D80="PLT",'FY_25-26'!$D80="KM"),"BUSINESS UNIT 1 - KIRAN","BUSINESS UNIT 2 - SHIFALI"))</f>
        <v>BUSINESS UNIT 1 - KIRAN</v>
      </c>
      <c r="B80" s="26">
        <f>IF('FY_25-26'!$C80&lt;&gt;"",ROW()-ROW($B$2),"")</f>
        <v>78</v>
      </c>
      <c r="C80" s="26" t="s">
        <v>70</v>
      </c>
      <c r="D80" s="26" t="s">
        <v>150</v>
      </c>
      <c r="E80" s="27" t="s">
        <v>297</v>
      </c>
      <c r="F80" s="26" t="s">
        <v>26</v>
      </c>
      <c r="G80" s="26" t="s">
        <v>27</v>
      </c>
      <c r="H80" s="26" t="s">
        <v>311</v>
      </c>
      <c r="I80" s="26" t="s">
        <v>36</v>
      </c>
      <c r="J80" s="26" t="s">
        <v>29</v>
      </c>
      <c r="K80" s="26">
        <v>3395491</v>
      </c>
      <c r="L80" s="26" t="s">
        <v>30</v>
      </c>
      <c r="M80" s="26" t="s">
        <v>312</v>
      </c>
      <c r="N80" s="27" t="s">
        <v>313</v>
      </c>
      <c r="O80" s="28">
        <v>45947</v>
      </c>
      <c r="P80" s="26">
        <v>301</v>
      </c>
      <c r="Q80" s="29" t="s">
        <v>31</v>
      </c>
      <c r="R80" s="30">
        <v>4.7</v>
      </c>
      <c r="S80" s="29" t="str">
        <f t="shared" si="10"/>
        <v>-</v>
      </c>
      <c r="T80" s="30">
        <f t="shared" si="11"/>
        <v>1414.7</v>
      </c>
      <c r="U80" s="34">
        <v>46125</v>
      </c>
      <c r="V80" s="31" t="s">
        <v>31</v>
      </c>
      <c r="W80" s="33"/>
      <c r="X80" s="32" t="s">
        <v>40</v>
      </c>
      <c r="Y80" s="33" t="s">
        <v>635</v>
      </c>
      <c r="Z80" s="33" t="s">
        <v>632</v>
      </c>
      <c r="AA80" s="33" t="s">
        <v>636</v>
      </c>
      <c r="AB80" s="33" t="s">
        <v>628</v>
      </c>
    </row>
    <row r="81" spans="1:28" ht="30">
      <c r="A81" s="12" t="str">
        <f>IF('FY_25-26'!$D81="","",IF(OR('FY_25-26'!$D81="BOOHOO LADIES",'FY_25-26'!$D81="PLT",'FY_25-26'!$D81="KM"),"BUSINESS UNIT 1 - KIRAN","BUSINESS UNIT 2 - SHIFALI"))</f>
        <v>BUSINESS UNIT 1 - KIRAN</v>
      </c>
      <c r="B81" s="26">
        <f>IF('FY_25-26'!$C81&lt;&gt;"",ROW()-ROW($B$2),"")</f>
        <v>79</v>
      </c>
      <c r="C81" s="26" t="s">
        <v>70</v>
      </c>
      <c r="D81" s="26" t="s">
        <v>150</v>
      </c>
      <c r="E81" s="27" t="s">
        <v>297</v>
      </c>
      <c r="F81" s="26" t="s">
        <v>26</v>
      </c>
      <c r="G81" s="26" t="s">
        <v>27</v>
      </c>
      <c r="H81" s="26" t="s">
        <v>314</v>
      </c>
      <c r="I81" s="26" t="s">
        <v>36</v>
      </c>
      <c r="J81" s="26" t="s">
        <v>124</v>
      </c>
      <c r="K81" s="26">
        <v>3395437</v>
      </c>
      <c r="L81" s="26" t="s">
        <v>30</v>
      </c>
      <c r="M81" s="26" t="s">
        <v>315</v>
      </c>
      <c r="N81" s="27" t="s">
        <v>316</v>
      </c>
      <c r="O81" s="28">
        <v>45947</v>
      </c>
      <c r="P81" s="26">
        <v>301</v>
      </c>
      <c r="Q81" s="29" t="s">
        <v>31</v>
      </c>
      <c r="R81" s="30">
        <v>4.8</v>
      </c>
      <c r="S81" s="29" t="str">
        <f t="shared" si="10"/>
        <v>-</v>
      </c>
      <c r="T81" s="30">
        <f t="shared" si="11"/>
        <v>1444.8</v>
      </c>
      <c r="U81" s="34">
        <v>46125</v>
      </c>
      <c r="V81" s="31" t="s">
        <v>31</v>
      </c>
      <c r="W81" s="33"/>
      <c r="X81" s="32" t="s">
        <v>40</v>
      </c>
      <c r="Y81" s="33" t="s">
        <v>635</v>
      </c>
      <c r="Z81" s="33" t="s">
        <v>632</v>
      </c>
      <c r="AA81" s="33" t="s">
        <v>636</v>
      </c>
      <c r="AB81" s="33" t="s">
        <v>628</v>
      </c>
    </row>
    <row r="82" spans="1:28" ht="24">
      <c r="A82" s="12" t="str">
        <f>IF('FY_25-26'!$D82="","",IF(OR('FY_25-26'!$D82="BOOHOO LADIES",'FY_25-26'!$D82="PLT",'FY_25-26'!$D82="KM"),"BUSINESS UNIT 1 - KIRAN","BUSINESS UNIT 2 - SHIFALI"))</f>
        <v>BUSINESS UNIT 1 - KIRAN</v>
      </c>
      <c r="B82" s="26">
        <f>IF('FY_25-26'!$C82&lt;&gt;"",ROW()-ROW($B$2),"")</f>
        <v>80</v>
      </c>
      <c r="C82" s="26" t="s">
        <v>70</v>
      </c>
      <c r="D82" s="26" t="s">
        <v>150</v>
      </c>
      <c r="E82" s="27" t="s">
        <v>297</v>
      </c>
      <c r="F82" s="26" t="s">
        <v>26</v>
      </c>
      <c r="G82" s="26" t="s">
        <v>27</v>
      </c>
      <c r="H82" s="26" t="s">
        <v>317</v>
      </c>
      <c r="I82" s="26" t="s">
        <v>36</v>
      </c>
      <c r="J82" s="26" t="s">
        <v>124</v>
      </c>
      <c r="K82" s="26">
        <v>3395485</v>
      </c>
      <c r="L82" s="26" t="s">
        <v>30</v>
      </c>
      <c r="M82" s="26" t="s">
        <v>318</v>
      </c>
      <c r="N82" s="27" t="s">
        <v>319</v>
      </c>
      <c r="O82" s="28">
        <v>45947</v>
      </c>
      <c r="P82" s="26">
        <v>301</v>
      </c>
      <c r="Q82" s="29" t="s">
        <v>31</v>
      </c>
      <c r="R82" s="30">
        <v>4.0999999999999996</v>
      </c>
      <c r="S82" s="29" t="str">
        <f t="shared" si="10"/>
        <v>-</v>
      </c>
      <c r="T82" s="30">
        <f t="shared" si="11"/>
        <v>1234.0999999999999</v>
      </c>
      <c r="U82" s="34">
        <v>46111</v>
      </c>
      <c r="V82" s="31" t="s">
        <v>31</v>
      </c>
      <c r="W82" s="33"/>
      <c r="X82" s="32" t="s">
        <v>40</v>
      </c>
      <c r="Y82" s="33" t="s">
        <v>635</v>
      </c>
      <c r="Z82" s="33" t="s">
        <v>632</v>
      </c>
      <c r="AA82" s="33" t="s">
        <v>636</v>
      </c>
      <c r="AB82" s="33" t="s">
        <v>628</v>
      </c>
    </row>
    <row r="83" spans="1:28" ht="24">
      <c r="A83" s="12" t="str">
        <f>IF('FY_25-26'!$D83="","",IF(OR('FY_25-26'!$D83="BOOHOO LADIES",'FY_25-26'!$D83="PLT",'FY_25-26'!$D83="KM"),"BUSINESS UNIT 1 - KIRAN","BUSINESS UNIT 2 - SHIFALI"))</f>
        <v>BUSINESS UNIT 1 - KIRAN</v>
      </c>
      <c r="B83" s="26">
        <f>IF('FY_25-26'!$C83&lt;&gt;"",ROW()-ROW($B$2),"")</f>
        <v>81</v>
      </c>
      <c r="C83" s="26" t="s">
        <v>70</v>
      </c>
      <c r="D83" s="26" t="s">
        <v>150</v>
      </c>
      <c r="E83" s="27" t="s">
        <v>297</v>
      </c>
      <c r="F83" s="26" t="s">
        <v>26</v>
      </c>
      <c r="G83" s="26" t="s">
        <v>27</v>
      </c>
      <c r="H83" s="26" t="s">
        <v>320</v>
      </c>
      <c r="I83" s="26" t="s">
        <v>36</v>
      </c>
      <c r="J83" s="26" t="s">
        <v>29</v>
      </c>
      <c r="K83" s="26">
        <v>3395493</v>
      </c>
      <c r="L83" s="26" t="s">
        <v>30</v>
      </c>
      <c r="M83" s="26" t="s">
        <v>321</v>
      </c>
      <c r="N83" s="27" t="s">
        <v>322</v>
      </c>
      <c r="O83" s="28">
        <v>45947</v>
      </c>
      <c r="P83" s="26">
        <v>301</v>
      </c>
      <c r="Q83" s="29" t="s">
        <v>31</v>
      </c>
      <c r="R83" s="30">
        <v>4.5999999999999996</v>
      </c>
      <c r="S83" s="29" t="str">
        <f t="shared" si="10"/>
        <v>-</v>
      </c>
      <c r="T83" s="30">
        <f t="shared" si="11"/>
        <v>1384.6</v>
      </c>
      <c r="U83" s="34">
        <v>46069</v>
      </c>
      <c r="V83" s="31" t="s">
        <v>31</v>
      </c>
      <c r="W83" s="33"/>
      <c r="X83" s="32" t="s">
        <v>40</v>
      </c>
      <c r="Y83" s="33" t="s">
        <v>635</v>
      </c>
      <c r="Z83" s="33" t="s">
        <v>632</v>
      </c>
      <c r="AA83" s="33" t="s">
        <v>636</v>
      </c>
      <c r="AB83" s="33" t="s">
        <v>628</v>
      </c>
    </row>
    <row r="84" spans="1:28" ht="24">
      <c r="A84" s="12" t="str">
        <f>IF('FY_25-26'!$D84="","",IF(OR('FY_25-26'!$D84="BOOHOO LADIES",'FY_25-26'!$D84="PLT",'FY_25-26'!$D84="KM"),"BUSINESS UNIT 1 - KIRAN","BUSINESS UNIT 2 - SHIFALI"))</f>
        <v>BUSINESS UNIT 1 - KIRAN</v>
      </c>
      <c r="B84" s="26">
        <f>IF('FY_25-26'!$C84&lt;&gt;"",ROW()-ROW($B$2),"")</f>
        <v>82</v>
      </c>
      <c r="C84" s="26" t="s">
        <v>70</v>
      </c>
      <c r="D84" s="26" t="s">
        <v>150</v>
      </c>
      <c r="E84" s="27" t="s">
        <v>297</v>
      </c>
      <c r="F84" s="26" t="s">
        <v>26</v>
      </c>
      <c r="G84" s="26" t="s">
        <v>27</v>
      </c>
      <c r="H84" s="26" t="s">
        <v>323</v>
      </c>
      <c r="I84" s="26" t="s">
        <v>36</v>
      </c>
      <c r="J84" s="26" t="s">
        <v>29</v>
      </c>
      <c r="K84" s="26">
        <v>3395467</v>
      </c>
      <c r="L84" s="26" t="s">
        <v>30</v>
      </c>
      <c r="M84" s="26" t="s">
        <v>324</v>
      </c>
      <c r="N84" s="27" t="s">
        <v>325</v>
      </c>
      <c r="O84" s="28">
        <v>45947</v>
      </c>
      <c r="P84" s="26">
        <v>351</v>
      </c>
      <c r="Q84" s="29" t="s">
        <v>31</v>
      </c>
      <c r="R84" s="30">
        <v>3.3</v>
      </c>
      <c r="S84" s="29" t="str">
        <f t="shared" si="10"/>
        <v>-</v>
      </c>
      <c r="T84" s="30">
        <f t="shared" si="11"/>
        <v>1158.3</v>
      </c>
      <c r="U84" s="34">
        <v>46072</v>
      </c>
      <c r="V84" s="31" t="s">
        <v>31</v>
      </c>
      <c r="W84" s="33"/>
      <c r="X84" s="32" t="s">
        <v>40</v>
      </c>
      <c r="Y84" s="33" t="s">
        <v>635</v>
      </c>
      <c r="Z84" s="33" t="s">
        <v>632</v>
      </c>
      <c r="AA84" s="33" t="s">
        <v>636</v>
      </c>
      <c r="AB84" s="33" t="s">
        <v>628</v>
      </c>
    </row>
    <row r="85" spans="1:28" ht="24">
      <c r="A85" s="12" t="str">
        <f>IF('FY_25-26'!$D85="","",IF(OR('FY_25-26'!$D85="BOOHOO LADIES",'FY_25-26'!$D85="PLT",'FY_25-26'!$D85="KM"),"BUSINESS UNIT 1 - KIRAN","BUSINESS UNIT 2 - SHIFALI"))</f>
        <v>BUSINESS UNIT 1 - KIRAN</v>
      </c>
      <c r="B85" s="26">
        <f>IF('FY_25-26'!$C85&lt;&gt;"",ROW()-ROW($B$2),"")</f>
        <v>83</v>
      </c>
      <c r="C85" s="26" t="s">
        <v>70</v>
      </c>
      <c r="D85" s="26" t="s">
        <v>150</v>
      </c>
      <c r="E85" s="27" t="s">
        <v>297</v>
      </c>
      <c r="F85" s="26" t="s">
        <v>26</v>
      </c>
      <c r="G85" s="26" t="s">
        <v>27</v>
      </c>
      <c r="H85" s="26" t="s">
        <v>326</v>
      </c>
      <c r="I85" s="26" t="s">
        <v>36</v>
      </c>
      <c r="J85" s="26" t="s">
        <v>29</v>
      </c>
      <c r="K85" s="26">
        <v>3395435</v>
      </c>
      <c r="L85" s="26" t="s">
        <v>30</v>
      </c>
      <c r="M85" s="26" t="s">
        <v>327</v>
      </c>
      <c r="N85" s="27" t="s">
        <v>328</v>
      </c>
      <c r="O85" s="28">
        <v>45947</v>
      </c>
      <c r="P85" s="26">
        <v>201</v>
      </c>
      <c r="Q85" s="29" t="s">
        <v>31</v>
      </c>
      <c r="R85" s="30">
        <v>6.8</v>
      </c>
      <c r="S85" s="29" t="str">
        <f t="shared" si="10"/>
        <v>-</v>
      </c>
      <c r="T85" s="30">
        <f t="shared" si="11"/>
        <v>1366.8</v>
      </c>
      <c r="U85" s="34">
        <v>46072</v>
      </c>
      <c r="V85" s="31" t="s">
        <v>31</v>
      </c>
      <c r="W85" s="33"/>
      <c r="X85" s="32" t="s">
        <v>40</v>
      </c>
      <c r="Y85" s="33" t="s">
        <v>635</v>
      </c>
      <c r="Z85" s="33" t="s">
        <v>632</v>
      </c>
      <c r="AA85" s="33" t="s">
        <v>636</v>
      </c>
      <c r="AB85" s="33" t="s">
        <v>628</v>
      </c>
    </row>
    <row r="86" spans="1:28" ht="24">
      <c r="A86" s="12" t="str">
        <f>IF('FY_25-26'!$D86="","",IF(OR('FY_25-26'!$D86="BOOHOO LADIES",'FY_25-26'!$D86="PLT",'FY_25-26'!$D86="KM"),"BUSINESS UNIT 1 - KIRAN","BUSINESS UNIT 2 - SHIFALI"))</f>
        <v>BUSINESS UNIT 1 - KIRAN</v>
      </c>
      <c r="B86" s="26">
        <f>IF('FY_25-26'!$C86&lt;&gt;"",ROW()-ROW($B$2),"")</f>
        <v>84</v>
      </c>
      <c r="C86" s="26" t="s">
        <v>70</v>
      </c>
      <c r="D86" s="26" t="s">
        <v>150</v>
      </c>
      <c r="E86" s="27" t="s">
        <v>297</v>
      </c>
      <c r="F86" s="26" t="s">
        <v>26</v>
      </c>
      <c r="G86" s="26" t="s">
        <v>27</v>
      </c>
      <c r="H86" s="26" t="s">
        <v>329</v>
      </c>
      <c r="I86" s="26" t="s">
        <v>36</v>
      </c>
      <c r="J86" s="26" t="s">
        <v>296</v>
      </c>
      <c r="K86" s="26">
        <v>3395441</v>
      </c>
      <c r="L86" s="26" t="s">
        <v>30</v>
      </c>
      <c r="M86" s="26" t="s">
        <v>330</v>
      </c>
      <c r="N86" s="27" t="s">
        <v>331</v>
      </c>
      <c r="O86" s="28">
        <v>45947</v>
      </c>
      <c r="P86" s="26">
        <v>300</v>
      </c>
      <c r="Q86" s="29" t="s">
        <v>31</v>
      </c>
      <c r="R86" s="30">
        <v>3.65</v>
      </c>
      <c r="S86" s="29" t="str">
        <f t="shared" si="10"/>
        <v>-</v>
      </c>
      <c r="T86" s="30">
        <f t="shared" si="11"/>
        <v>1095</v>
      </c>
      <c r="U86" s="34">
        <v>46072</v>
      </c>
      <c r="V86" s="31" t="s">
        <v>31</v>
      </c>
      <c r="W86" s="33"/>
      <c r="X86" s="32" t="s">
        <v>40</v>
      </c>
      <c r="Y86" s="33" t="s">
        <v>635</v>
      </c>
      <c r="Z86" s="33" t="s">
        <v>632</v>
      </c>
      <c r="AA86" s="33" t="s">
        <v>636</v>
      </c>
      <c r="AB86" s="33" t="s">
        <v>628</v>
      </c>
    </row>
    <row r="87" spans="1:28" ht="24">
      <c r="A87" s="12" t="str">
        <f>IF('FY_25-26'!$D87="","",IF(OR('FY_25-26'!$D87="BOOHOO LADIES",'FY_25-26'!$D87="PLT",'FY_25-26'!$D87="KM"),"BUSINESS UNIT 1 - KIRAN","BUSINESS UNIT 2 - SHIFALI"))</f>
        <v>BUSINESS UNIT 1 - KIRAN</v>
      </c>
      <c r="B87" s="26">
        <f>IF('FY_25-26'!$C87&lt;&gt;"",ROW()-ROW($B$2),"")</f>
        <v>85</v>
      </c>
      <c r="C87" s="26" t="s">
        <v>70</v>
      </c>
      <c r="D87" s="26" t="s">
        <v>150</v>
      </c>
      <c r="E87" s="27" t="s">
        <v>297</v>
      </c>
      <c r="F87" s="26" t="s">
        <v>26</v>
      </c>
      <c r="G87" s="26" t="s">
        <v>27</v>
      </c>
      <c r="H87" s="26" t="s">
        <v>332</v>
      </c>
      <c r="I87" s="26" t="s">
        <v>36</v>
      </c>
      <c r="J87" s="26" t="s">
        <v>333</v>
      </c>
      <c r="K87" s="26">
        <v>3395439</v>
      </c>
      <c r="L87" s="26" t="s">
        <v>30</v>
      </c>
      <c r="M87" s="26" t="s">
        <v>334</v>
      </c>
      <c r="N87" s="27" t="s">
        <v>335</v>
      </c>
      <c r="O87" s="28">
        <v>45947</v>
      </c>
      <c r="P87" s="26">
        <v>198</v>
      </c>
      <c r="Q87" s="29" t="s">
        <v>31</v>
      </c>
      <c r="R87" s="30">
        <v>5</v>
      </c>
      <c r="S87" s="29" t="str">
        <f t="shared" si="10"/>
        <v>-</v>
      </c>
      <c r="T87" s="30">
        <f t="shared" si="11"/>
        <v>990</v>
      </c>
      <c r="U87" s="34">
        <v>46097</v>
      </c>
      <c r="V87" s="31" t="s">
        <v>31</v>
      </c>
      <c r="W87" s="33"/>
      <c r="X87" s="32" t="s">
        <v>40</v>
      </c>
      <c r="Y87" s="33" t="s">
        <v>635</v>
      </c>
      <c r="Z87" s="33" t="s">
        <v>632</v>
      </c>
      <c r="AA87" s="33" t="s">
        <v>636</v>
      </c>
      <c r="AB87" s="33" t="s">
        <v>628</v>
      </c>
    </row>
    <row r="88" spans="1:28" ht="24">
      <c r="A88" s="12" t="str">
        <f>IF('FY_25-26'!$D88="","",IF(OR('FY_25-26'!$D88="BOOHOO LADIES",'FY_25-26'!$D88="PLT",'FY_25-26'!$D88="KM"),"BUSINESS UNIT 1 - KIRAN","BUSINESS UNIT 2 - SHIFALI"))</f>
        <v>BUSINESS UNIT 1 - KIRAN</v>
      </c>
      <c r="B88" s="26">
        <f>IF('FY_25-26'!$C88&lt;&gt;"",ROW()-ROW($B$2),"")</f>
        <v>86</v>
      </c>
      <c r="C88" s="26" t="s">
        <v>70</v>
      </c>
      <c r="D88" s="26" t="s">
        <v>150</v>
      </c>
      <c r="E88" s="27" t="s">
        <v>297</v>
      </c>
      <c r="F88" s="26" t="s">
        <v>26</v>
      </c>
      <c r="G88" s="26" t="s">
        <v>27</v>
      </c>
      <c r="H88" s="26" t="s">
        <v>336</v>
      </c>
      <c r="I88" s="26" t="s">
        <v>36</v>
      </c>
      <c r="J88" s="26" t="s">
        <v>29</v>
      </c>
      <c r="K88" s="26">
        <v>3395432</v>
      </c>
      <c r="L88" s="26" t="s">
        <v>30</v>
      </c>
      <c r="M88" s="26" t="s">
        <v>337</v>
      </c>
      <c r="N88" s="27" t="s">
        <v>338</v>
      </c>
      <c r="O88" s="28">
        <v>45947</v>
      </c>
      <c r="P88" s="26">
        <v>201</v>
      </c>
      <c r="Q88" s="29" t="s">
        <v>31</v>
      </c>
      <c r="R88" s="30">
        <v>6.27</v>
      </c>
      <c r="S88" s="29" t="str">
        <f t="shared" si="10"/>
        <v>-</v>
      </c>
      <c r="T88" s="30">
        <f t="shared" si="11"/>
        <v>1260.27</v>
      </c>
      <c r="U88" s="34">
        <v>46072</v>
      </c>
      <c r="V88" s="31" t="s">
        <v>31</v>
      </c>
      <c r="W88" s="33"/>
      <c r="X88" s="32" t="s">
        <v>40</v>
      </c>
      <c r="Y88" s="33" t="s">
        <v>635</v>
      </c>
      <c r="Z88" s="33" t="s">
        <v>632</v>
      </c>
      <c r="AA88" s="33" t="s">
        <v>636</v>
      </c>
      <c r="AB88" s="33" t="s">
        <v>628</v>
      </c>
    </row>
    <row r="89" spans="1:28" ht="24">
      <c r="A89" s="12" t="str">
        <f>IF('FY_25-26'!$D89="","",IF(OR('FY_25-26'!$D89="BOOHOO LADIES",'FY_25-26'!$D89="PLT",'FY_25-26'!$D89="KM"),"BUSINESS UNIT 1 - KIRAN","BUSINESS UNIT 2 - SHIFALI"))</f>
        <v>BUSINESS UNIT 1 - KIRAN</v>
      </c>
      <c r="B89" s="26">
        <f>IF('FY_25-26'!$C89&lt;&gt;"",ROW()-ROW($B$2),"")</f>
        <v>87</v>
      </c>
      <c r="C89" s="26" t="s">
        <v>70</v>
      </c>
      <c r="D89" s="26" t="s">
        <v>150</v>
      </c>
      <c r="E89" s="27" t="s">
        <v>297</v>
      </c>
      <c r="F89" s="26" t="s">
        <v>26</v>
      </c>
      <c r="G89" s="26" t="s">
        <v>27</v>
      </c>
      <c r="H89" s="26" t="s">
        <v>339</v>
      </c>
      <c r="I89" s="26" t="s">
        <v>36</v>
      </c>
      <c r="J89" s="26" t="s">
        <v>29</v>
      </c>
      <c r="K89" s="26">
        <v>3395449</v>
      </c>
      <c r="L89" s="26" t="s">
        <v>30</v>
      </c>
      <c r="M89" s="26" t="s">
        <v>340</v>
      </c>
      <c r="N89" s="27" t="s">
        <v>341</v>
      </c>
      <c r="O89" s="28">
        <v>45947</v>
      </c>
      <c r="P89" s="26">
        <v>301</v>
      </c>
      <c r="Q89" s="29" t="s">
        <v>31</v>
      </c>
      <c r="R89" s="30">
        <v>4.5</v>
      </c>
      <c r="S89" s="29" t="str">
        <f t="shared" si="10"/>
        <v>-</v>
      </c>
      <c r="T89" s="30">
        <f t="shared" si="11"/>
        <v>1354.5</v>
      </c>
      <c r="U89" s="34">
        <v>46111</v>
      </c>
      <c r="V89" s="31" t="s">
        <v>31</v>
      </c>
      <c r="W89" s="33"/>
      <c r="X89" s="32" t="s">
        <v>40</v>
      </c>
      <c r="Y89" s="33" t="s">
        <v>635</v>
      </c>
      <c r="Z89" s="33" t="s">
        <v>632</v>
      </c>
      <c r="AA89" s="33" t="s">
        <v>636</v>
      </c>
      <c r="AB89" s="33" t="s">
        <v>628</v>
      </c>
    </row>
    <row r="90" spans="1:28" ht="24">
      <c r="A90" s="12" t="str">
        <f>IF('FY_25-26'!$D90="","",IF(OR('FY_25-26'!$D90="BOOHOO LADIES",'FY_25-26'!$D90="PLT",'FY_25-26'!$D90="KM"),"BUSINESS UNIT 1 - KIRAN","BUSINESS UNIT 2 - SHIFALI"))</f>
        <v>BUSINESS UNIT 1 - KIRAN</v>
      </c>
      <c r="B90" s="26">
        <f>IF('FY_25-26'!$C90&lt;&gt;"",ROW()-ROW($B$2),"")</f>
        <v>88</v>
      </c>
      <c r="C90" s="26" t="s">
        <v>70</v>
      </c>
      <c r="D90" s="26" t="s">
        <v>150</v>
      </c>
      <c r="E90" s="27" t="s">
        <v>297</v>
      </c>
      <c r="F90" s="26" t="s">
        <v>26</v>
      </c>
      <c r="G90" s="26" t="s">
        <v>27</v>
      </c>
      <c r="H90" s="26" t="s">
        <v>342</v>
      </c>
      <c r="I90" s="26" t="s">
        <v>36</v>
      </c>
      <c r="J90" s="26" t="s">
        <v>29</v>
      </c>
      <c r="K90" s="26">
        <v>3395425</v>
      </c>
      <c r="L90" s="26" t="s">
        <v>30</v>
      </c>
      <c r="M90" s="26" t="s">
        <v>343</v>
      </c>
      <c r="N90" s="27" t="s">
        <v>344</v>
      </c>
      <c r="O90" s="28">
        <v>45947</v>
      </c>
      <c r="P90" s="26">
        <v>201</v>
      </c>
      <c r="Q90" s="29" t="s">
        <v>31</v>
      </c>
      <c r="R90" s="30">
        <v>6.6</v>
      </c>
      <c r="S90" s="29" t="str">
        <f t="shared" si="10"/>
        <v>-</v>
      </c>
      <c r="T90" s="30">
        <f t="shared" si="11"/>
        <v>1326.6</v>
      </c>
      <c r="U90" s="34">
        <v>46072</v>
      </c>
      <c r="V90" s="31" t="s">
        <v>31</v>
      </c>
      <c r="W90" s="33"/>
      <c r="X90" s="32" t="s">
        <v>40</v>
      </c>
      <c r="Y90" s="33" t="s">
        <v>635</v>
      </c>
      <c r="Z90" s="33" t="s">
        <v>632</v>
      </c>
      <c r="AA90" s="33" t="s">
        <v>636</v>
      </c>
      <c r="AB90" s="33" t="s">
        <v>628</v>
      </c>
    </row>
    <row r="91" spans="1:28" ht="24">
      <c r="A91" s="12" t="str">
        <f>IF('FY_25-26'!$D91="","",IF(OR('FY_25-26'!$D91="BOOHOO LADIES",'FY_25-26'!$D91="PLT",'FY_25-26'!$D91="KM"),"BUSINESS UNIT 1 - KIRAN","BUSINESS UNIT 2 - SHIFALI"))</f>
        <v>BUSINESS UNIT 1 - KIRAN</v>
      </c>
      <c r="B91" s="26">
        <f>IF('FY_25-26'!$C91&lt;&gt;"",ROW()-ROW($B$2),"")</f>
        <v>89</v>
      </c>
      <c r="C91" s="26" t="s">
        <v>70</v>
      </c>
      <c r="D91" s="26" t="s">
        <v>150</v>
      </c>
      <c r="E91" s="27" t="s">
        <v>297</v>
      </c>
      <c r="F91" s="26" t="s">
        <v>26</v>
      </c>
      <c r="G91" s="26" t="s">
        <v>27</v>
      </c>
      <c r="H91" s="26" t="s">
        <v>345</v>
      </c>
      <c r="I91" s="26" t="s">
        <v>36</v>
      </c>
      <c r="J91" s="26" t="s">
        <v>84</v>
      </c>
      <c r="K91" s="26">
        <v>3395494</v>
      </c>
      <c r="L91" s="26" t="s">
        <v>30</v>
      </c>
      <c r="M91" s="26" t="s">
        <v>346</v>
      </c>
      <c r="N91" s="27" t="s">
        <v>347</v>
      </c>
      <c r="O91" s="28">
        <v>45947</v>
      </c>
      <c r="P91" s="26">
        <v>350</v>
      </c>
      <c r="Q91" s="29" t="s">
        <v>31</v>
      </c>
      <c r="R91" s="30">
        <v>3.5</v>
      </c>
      <c r="S91" s="29" t="str">
        <f t="shared" si="10"/>
        <v>-</v>
      </c>
      <c r="T91" s="30">
        <f t="shared" si="11"/>
        <v>1225</v>
      </c>
      <c r="U91" s="34">
        <v>46111</v>
      </c>
      <c r="V91" s="31" t="s">
        <v>31</v>
      </c>
      <c r="W91" s="33"/>
      <c r="X91" s="32" t="s">
        <v>40</v>
      </c>
      <c r="Y91" s="33" t="s">
        <v>635</v>
      </c>
      <c r="Z91" s="33" t="s">
        <v>632</v>
      </c>
      <c r="AA91" s="33" t="s">
        <v>636</v>
      </c>
      <c r="AB91" s="33" t="s">
        <v>628</v>
      </c>
    </row>
    <row r="92" spans="1:28" ht="24">
      <c r="A92" s="12" t="str">
        <f>IF('FY_25-26'!$D92="","",IF(OR('FY_25-26'!$D92="BOOHOO LADIES",'FY_25-26'!$D92="PLT",'FY_25-26'!$D92="KM"),"BUSINESS UNIT 1 - KIRAN","BUSINESS UNIT 2 - SHIFALI"))</f>
        <v>BUSINESS UNIT 1 - KIRAN</v>
      </c>
      <c r="B92" s="26">
        <f>IF('FY_25-26'!$C92&lt;&gt;"",ROW()-ROW($B$2),"")</f>
        <v>90</v>
      </c>
      <c r="C92" s="26" t="s">
        <v>70</v>
      </c>
      <c r="D92" s="26" t="s">
        <v>150</v>
      </c>
      <c r="E92" s="27" t="s">
        <v>297</v>
      </c>
      <c r="F92" s="26" t="s">
        <v>26</v>
      </c>
      <c r="G92" s="26" t="s">
        <v>27</v>
      </c>
      <c r="H92" s="26" t="s">
        <v>348</v>
      </c>
      <c r="I92" s="26" t="s">
        <v>36</v>
      </c>
      <c r="J92" s="26" t="s">
        <v>124</v>
      </c>
      <c r="K92" s="26">
        <v>3395430</v>
      </c>
      <c r="L92" s="26" t="s">
        <v>30</v>
      </c>
      <c r="M92" s="26" t="s">
        <v>349</v>
      </c>
      <c r="N92" s="27" t="s">
        <v>350</v>
      </c>
      <c r="O92" s="28">
        <v>45947</v>
      </c>
      <c r="P92" s="26">
        <v>201</v>
      </c>
      <c r="Q92" s="29" t="s">
        <v>31</v>
      </c>
      <c r="R92" s="30">
        <v>7.5</v>
      </c>
      <c r="S92" s="29" t="str">
        <f t="shared" si="10"/>
        <v>-</v>
      </c>
      <c r="T92" s="30">
        <f t="shared" si="11"/>
        <v>1507.5</v>
      </c>
      <c r="U92" s="34">
        <v>46069</v>
      </c>
      <c r="V92" s="31" t="s">
        <v>31</v>
      </c>
      <c r="W92" s="33"/>
      <c r="X92" s="32" t="s">
        <v>40</v>
      </c>
      <c r="Y92" s="33" t="s">
        <v>635</v>
      </c>
      <c r="Z92" s="33" t="s">
        <v>632</v>
      </c>
      <c r="AA92" s="33" t="s">
        <v>636</v>
      </c>
      <c r="AB92" s="33" t="s">
        <v>628</v>
      </c>
    </row>
    <row r="93" spans="1:28" ht="30">
      <c r="A93" s="12" t="str">
        <f>IF('FY_25-26'!$D93="","",IF(OR('FY_25-26'!$D93="BOOHOO LADIES",'FY_25-26'!$D93="PLT",'FY_25-26'!$D93="KM"),"BUSINESS UNIT 1 - KIRAN","BUSINESS UNIT 2 - SHIFALI"))</f>
        <v>BUSINESS UNIT 1 - KIRAN</v>
      </c>
      <c r="B93" s="26">
        <f>IF('FY_25-26'!$C93&lt;&gt;"",ROW()-ROW($B$2),"")</f>
        <v>91</v>
      </c>
      <c r="C93" s="26" t="s">
        <v>70</v>
      </c>
      <c r="D93" s="26" t="s">
        <v>150</v>
      </c>
      <c r="E93" s="27" t="s">
        <v>297</v>
      </c>
      <c r="F93" s="26" t="s">
        <v>26</v>
      </c>
      <c r="G93" s="26" t="s">
        <v>27</v>
      </c>
      <c r="H93" s="26" t="s">
        <v>351</v>
      </c>
      <c r="I93" s="26" t="s">
        <v>36</v>
      </c>
      <c r="J93" s="26" t="s">
        <v>29</v>
      </c>
      <c r="K93" s="26">
        <v>3395431</v>
      </c>
      <c r="L93" s="26" t="s">
        <v>30</v>
      </c>
      <c r="M93" s="26" t="s">
        <v>352</v>
      </c>
      <c r="N93" s="27" t="s">
        <v>353</v>
      </c>
      <c r="O93" s="28">
        <v>45947</v>
      </c>
      <c r="P93" s="26">
        <v>350</v>
      </c>
      <c r="Q93" s="29" t="s">
        <v>31</v>
      </c>
      <c r="R93" s="30">
        <v>6.2</v>
      </c>
      <c r="S93" s="29" t="str">
        <f t="shared" si="10"/>
        <v>-</v>
      </c>
      <c r="T93" s="30">
        <f t="shared" si="11"/>
        <v>2170</v>
      </c>
      <c r="U93" s="34">
        <v>46097</v>
      </c>
      <c r="V93" s="31" t="s">
        <v>31</v>
      </c>
      <c r="W93" s="33"/>
      <c r="X93" s="32" t="s">
        <v>40</v>
      </c>
      <c r="Y93" s="33" t="s">
        <v>635</v>
      </c>
      <c r="Z93" s="33" t="s">
        <v>632</v>
      </c>
      <c r="AA93" s="33" t="s">
        <v>636</v>
      </c>
      <c r="AB93" s="33" t="s">
        <v>628</v>
      </c>
    </row>
    <row r="94" spans="1:28" ht="24">
      <c r="A94" s="10" t="str">
        <f>IF('FY_25-26'!$D94="","",IF(OR('FY_25-26'!$D94="BOOHOO LADIES",'FY_25-26'!$D94="PLT",'FY_25-26'!$D94="KM"),"BUSINESS UNIT 1 - KIRAN","BUSINESS UNIT 2 - SHIFALI"))</f>
        <v>BUSINESS UNIT 1 - KIRAN</v>
      </c>
      <c r="B94" s="26">
        <f>IF('FY_25-26'!$C94&lt;&gt;"",ROW()-ROW($B$2),"")</f>
        <v>92</v>
      </c>
      <c r="C94" s="26" t="s">
        <v>70</v>
      </c>
      <c r="D94" s="26" t="s">
        <v>150</v>
      </c>
      <c r="E94" s="27" t="s">
        <v>297</v>
      </c>
      <c r="F94" s="26" t="s">
        <v>26</v>
      </c>
      <c r="G94" s="26" t="s">
        <v>27</v>
      </c>
      <c r="H94" s="26" t="s">
        <v>354</v>
      </c>
      <c r="I94" s="26" t="s">
        <v>36</v>
      </c>
      <c r="J94" s="26" t="s">
        <v>29</v>
      </c>
      <c r="K94" s="26">
        <v>3395422</v>
      </c>
      <c r="L94" s="26" t="s">
        <v>30</v>
      </c>
      <c r="M94" s="26" t="s">
        <v>355</v>
      </c>
      <c r="N94" s="27" t="s">
        <v>356</v>
      </c>
      <c r="O94" s="28">
        <v>45947</v>
      </c>
      <c r="P94" s="26">
        <v>351</v>
      </c>
      <c r="Q94" s="29" t="s">
        <v>31</v>
      </c>
      <c r="R94" s="30">
        <v>4.12</v>
      </c>
      <c r="S94" s="29" t="str">
        <f t="shared" si="10"/>
        <v>-</v>
      </c>
      <c r="T94" s="30">
        <f t="shared" si="11"/>
        <v>1446.1200000000001</v>
      </c>
      <c r="U94" s="34">
        <v>46072</v>
      </c>
      <c r="V94" s="31" t="s">
        <v>31</v>
      </c>
      <c r="W94" s="33"/>
      <c r="X94" s="32" t="s">
        <v>40</v>
      </c>
      <c r="Y94" s="33" t="s">
        <v>635</v>
      </c>
      <c r="Z94" s="33" t="s">
        <v>632</v>
      </c>
      <c r="AA94" s="33" t="s">
        <v>636</v>
      </c>
      <c r="AB94" s="33" t="s">
        <v>628</v>
      </c>
    </row>
    <row r="95" spans="1:28" ht="24">
      <c r="A95" s="12" t="str">
        <f>IF('FY_25-26'!$D95="","",IF(OR('FY_25-26'!$D95="BOOHOO LADIES",'FY_25-26'!$D95="PLT",'FY_25-26'!$D95="KM"),"BUSINESS UNIT 1 - KIRAN","BUSINESS UNIT 2 - SHIFALI"))</f>
        <v>BUSINESS UNIT 1 - KIRAN</v>
      </c>
      <c r="B95" s="26">
        <f>IF('FY_25-26'!$C95&lt;&gt;"",ROW()-ROW($B$2),"")</f>
        <v>93</v>
      </c>
      <c r="C95" s="26" t="s">
        <v>60</v>
      </c>
      <c r="D95" s="26" t="s">
        <v>150</v>
      </c>
      <c r="E95" s="27" t="s">
        <v>359</v>
      </c>
      <c r="F95" s="26" t="s">
        <v>26</v>
      </c>
      <c r="G95" s="26" t="s">
        <v>27</v>
      </c>
      <c r="H95" s="26" t="s">
        <v>368</v>
      </c>
      <c r="I95" s="26" t="s">
        <v>36</v>
      </c>
      <c r="J95" s="26" t="s">
        <v>362</v>
      </c>
      <c r="K95" s="26">
        <v>3402727</v>
      </c>
      <c r="L95" s="26" t="s">
        <v>30</v>
      </c>
      <c r="M95" s="26" t="s">
        <v>369</v>
      </c>
      <c r="N95" s="27" t="s">
        <v>370</v>
      </c>
      <c r="O95" s="28">
        <v>45967</v>
      </c>
      <c r="P95" s="26">
        <v>301</v>
      </c>
      <c r="Q95" s="29" t="s">
        <v>31</v>
      </c>
      <c r="R95" s="30">
        <v>4.5</v>
      </c>
      <c r="S95" s="29" t="str">
        <f t="shared" ref="S95:S105" si="12">IF($Q95="","",IF($Q95="-","-",$P95*$Q95))</f>
        <v>-</v>
      </c>
      <c r="T95" s="30">
        <f t="shared" ref="T95:T105" si="13">IF($R95="","",IF($R95="-","-",$P95*$R95))</f>
        <v>1354.5</v>
      </c>
      <c r="U95" s="34">
        <v>46104</v>
      </c>
      <c r="V95" s="31" t="s">
        <v>31</v>
      </c>
      <c r="W95" s="33"/>
      <c r="X95" s="36" t="s">
        <v>40</v>
      </c>
      <c r="Y95" s="33" t="s">
        <v>635</v>
      </c>
      <c r="Z95" s="33" t="s">
        <v>632</v>
      </c>
      <c r="AA95" s="33" t="s">
        <v>636</v>
      </c>
      <c r="AB95" s="33" t="s">
        <v>628</v>
      </c>
    </row>
    <row r="96" spans="1:28" ht="24">
      <c r="A96" s="12" t="str">
        <f>IF('FY_25-26'!$D96="","",IF(OR('FY_25-26'!$D96="BOOHOO LADIES",'FY_25-26'!$D96="PLT",'FY_25-26'!$D96="KM"),"BUSINESS UNIT 1 - KIRAN","BUSINESS UNIT 2 - SHIFALI"))</f>
        <v>BUSINESS UNIT 1 - KIRAN</v>
      </c>
      <c r="B96" s="26">
        <f>IF('FY_25-26'!$C96&lt;&gt;"",ROW()-ROW($B$2),"")</f>
        <v>94</v>
      </c>
      <c r="C96" s="26" t="s">
        <v>60</v>
      </c>
      <c r="D96" s="26" t="s">
        <v>150</v>
      </c>
      <c r="E96" s="27" t="s">
        <v>359</v>
      </c>
      <c r="F96" s="26" t="s">
        <v>26</v>
      </c>
      <c r="G96" s="26" t="s">
        <v>27</v>
      </c>
      <c r="H96" s="26" t="s">
        <v>371</v>
      </c>
      <c r="I96" s="26" t="s">
        <v>36</v>
      </c>
      <c r="J96" s="26" t="s">
        <v>362</v>
      </c>
      <c r="K96" s="26">
        <v>3402728</v>
      </c>
      <c r="L96" s="26" t="s">
        <v>30</v>
      </c>
      <c r="M96" s="26" t="s">
        <v>372</v>
      </c>
      <c r="N96" s="27" t="s">
        <v>373</v>
      </c>
      <c r="O96" s="28">
        <v>45967</v>
      </c>
      <c r="P96" s="26">
        <v>301</v>
      </c>
      <c r="Q96" s="29" t="s">
        <v>31</v>
      </c>
      <c r="R96" s="30">
        <v>4</v>
      </c>
      <c r="S96" s="29" t="str">
        <f t="shared" si="12"/>
        <v>-</v>
      </c>
      <c r="T96" s="30">
        <f t="shared" si="13"/>
        <v>1204</v>
      </c>
      <c r="U96" s="34">
        <v>46104</v>
      </c>
      <c r="V96" s="31" t="s">
        <v>31</v>
      </c>
      <c r="W96" s="33"/>
      <c r="X96" s="36" t="s">
        <v>40</v>
      </c>
      <c r="Y96" s="33" t="s">
        <v>635</v>
      </c>
      <c r="Z96" s="33" t="s">
        <v>632</v>
      </c>
      <c r="AA96" s="33" t="s">
        <v>636</v>
      </c>
      <c r="AB96" s="33" t="s">
        <v>628</v>
      </c>
    </row>
    <row r="97" spans="1:28" ht="24">
      <c r="A97" s="12" t="str">
        <f>IF('FY_25-26'!$D97="","",IF(OR('FY_25-26'!$D97="BOOHOO LADIES",'FY_25-26'!$D97="PLT",'FY_25-26'!$D97="KM"),"BUSINESS UNIT 1 - KIRAN","BUSINESS UNIT 2 - SHIFALI"))</f>
        <v>BUSINESS UNIT 1 - KIRAN</v>
      </c>
      <c r="B97" s="26">
        <f>IF('FY_25-26'!$C97&lt;&gt;"",ROW()-ROW($B$2),"")</f>
        <v>95</v>
      </c>
      <c r="C97" s="26" t="s">
        <v>60</v>
      </c>
      <c r="D97" s="26" t="s">
        <v>150</v>
      </c>
      <c r="E97" s="27" t="s">
        <v>359</v>
      </c>
      <c r="F97" s="26" t="s">
        <v>26</v>
      </c>
      <c r="G97" s="26" t="s">
        <v>27</v>
      </c>
      <c r="H97" s="26" t="s">
        <v>374</v>
      </c>
      <c r="I97" s="26" t="s">
        <v>36</v>
      </c>
      <c r="J97" s="26" t="s">
        <v>362</v>
      </c>
      <c r="K97" s="26">
        <v>3402729</v>
      </c>
      <c r="L97" s="26" t="s">
        <v>30</v>
      </c>
      <c r="M97" s="26" t="s">
        <v>375</v>
      </c>
      <c r="N97" s="27" t="s">
        <v>376</v>
      </c>
      <c r="O97" s="28">
        <v>45967</v>
      </c>
      <c r="P97" s="26">
        <v>201</v>
      </c>
      <c r="Q97" s="29" t="s">
        <v>31</v>
      </c>
      <c r="R97" s="30">
        <v>5</v>
      </c>
      <c r="S97" s="29" t="str">
        <f t="shared" si="12"/>
        <v>-</v>
      </c>
      <c r="T97" s="30">
        <f t="shared" si="13"/>
        <v>1005</v>
      </c>
      <c r="U97" s="34">
        <v>46104</v>
      </c>
      <c r="V97" s="31" t="s">
        <v>31</v>
      </c>
      <c r="W97" s="33"/>
      <c r="X97" s="36" t="s">
        <v>40</v>
      </c>
      <c r="Y97" s="33" t="s">
        <v>635</v>
      </c>
      <c r="Z97" s="33" t="s">
        <v>632</v>
      </c>
      <c r="AA97" s="33" t="s">
        <v>636</v>
      </c>
      <c r="AB97" s="33" t="s">
        <v>628</v>
      </c>
    </row>
    <row r="98" spans="1:28" ht="24">
      <c r="A98" s="12" t="str">
        <f>IF('FY_25-26'!$D98="","",IF(OR('FY_25-26'!$D98="BOOHOO LADIES",'FY_25-26'!$D98="PLT",'FY_25-26'!$D98="KM"),"BUSINESS UNIT 1 - KIRAN","BUSINESS UNIT 2 - SHIFALI"))</f>
        <v>BUSINESS UNIT 2 - SHIFALI</v>
      </c>
      <c r="B98" s="26">
        <f>IF('FY_25-26'!$C98&lt;&gt;"",ROW()-ROW($B$2),"")</f>
        <v>96</v>
      </c>
      <c r="C98" s="26" t="s">
        <v>287</v>
      </c>
      <c r="D98" s="26" t="s">
        <v>116</v>
      </c>
      <c r="E98" s="27" t="s">
        <v>377</v>
      </c>
      <c r="F98" s="26" t="s">
        <v>26</v>
      </c>
      <c r="G98" s="26" t="s">
        <v>27</v>
      </c>
      <c r="H98" s="26" t="s">
        <v>378</v>
      </c>
      <c r="I98" s="26" t="s">
        <v>36</v>
      </c>
      <c r="J98" s="26" t="s">
        <v>143</v>
      </c>
      <c r="K98" s="26">
        <v>3402612</v>
      </c>
      <c r="L98" s="26" t="s">
        <v>30</v>
      </c>
      <c r="M98" s="26" t="s">
        <v>379</v>
      </c>
      <c r="N98" s="27" t="s">
        <v>380</v>
      </c>
      <c r="O98" s="28">
        <v>45967</v>
      </c>
      <c r="P98" s="26">
        <v>150</v>
      </c>
      <c r="Q98" s="29" t="s">
        <v>31</v>
      </c>
      <c r="R98" s="30">
        <v>6.25</v>
      </c>
      <c r="S98" s="29" t="str">
        <f t="shared" si="12"/>
        <v>-</v>
      </c>
      <c r="T98" s="30">
        <f t="shared" si="13"/>
        <v>937.5</v>
      </c>
      <c r="U98" s="34">
        <v>46037</v>
      </c>
      <c r="V98" s="31" t="s">
        <v>31</v>
      </c>
      <c r="W98" s="33"/>
      <c r="X98" s="36" t="s">
        <v>32</v>
      </c>
      <c r="Y98" s="33" t="s">
        <v>634</v>
      </c>
      <c r="Z98" s="33" t="s">
        <v>632</v>
      </c>
      <c r="AA98" s="33" t="s">
        <v>636</v>
      </c>
      <c r="AB98" s="33" t="s">
        <v>628</v>
      </c>
    </row>
    <row r="99" spans="1:28" ht="24">
      <c r="A99" s="12" t="str">
        <f>IF('FY_25-26'!$D99="","",IF(OR('FY_25-26'!$D99="BOOHOO LADIES",'FY_25-26'!$D99="PLT",'FY_25-26'!$D99="KM"),"BUSINESS UNIT 1 - KIRAN","BUSINESS UNIT 2 - SHIFALI"))</f>
        <v>BUSINESS UNIT 2 - SHIFALI</v>
      </c>
      <c r="B99" s="26">
        <f>IF('FY_25-26'!$C99&lt;&gt;"",ROW()-ROW($B$2),"")</f>
        <v>97</v>
      </c>
      <c r="C99" s="26" t="s">
        <v>287</v>
      </c>
      <c r="D99" s="26" t="s">
        <v>116</v>
      </c>
      <c r="E99" s="27" t="s">
        <v>377</v>
      </c>
      <c r="F99" s="26" t="s">
        <v>26</v>
      </c>
      <c r="G99" s="26" t="s">
        <v>27</v>
      </c>
      <c r="H99" s="26" t="s">
        <v>378</v>
      </c>
      <c r="I99" s="26" t="s">
        <v>36</v>
      </c>
      <c r="J99" s="26" t="s">
        <v>105</v>
      </c>
      <c r="K99" s="26">
        <v>3402612</v>
      </c>
      <c r="L99" s="26" t="s">
        <v>30</v>
      </c>
      <c r="M99" s="26" t="s">
        <v>379</v>
      </c>
      <c r="N99" s="27" t="s">
        <v>380</v>
      </c>
      <c r="O99" s="28">
        <v>45967</v>
      </c>
      <c r="P99" s="26">
        <v>100</v>
      </c>
      <c r="Q99" s="29" t="s">
        <v>31</v>
      </c>
      <c r="R99" s="30">
        <v>6.25</v>
      </c>
      <c r="S99" s="29" t="str">
        <f t="shared" si="12"/>
        <v>-</v>
      </c>
      <c r="T99" s="30">
        <f t="shared" si="13"/>
        <v>625</v>
      </c>
      <c r="U99" s="34">
        <v>46037</v>
      </c>
      <c r="V99" s="31" t="s">
        <v>31</v>
      </c>
      <c r="W99" s="33"/>
      <c r="X99" s="36" t="s">
        <v>32</v>
      </c>
      <c r="Y99" s="33" t="s">
        <v>634</v>
      </c>
      <c r="Z99" s="33" t="s">
        <v>632</v>
      </c>
      <c r="AA99" s="33" t="s">
        <v>636</v>
      </c>
      <c r="AB99" s="33" t="s">
        <v>628</v>
      </c>
    </row>
    <row r="100" spans="1:28" ht="24">
      <c r="A100" s="12" t="str">
        <f>IF('FY_25-26'!$D100="","",IF(OR('FY_25-26'!$D100="BOOHOO LADIES",'FY_25-26'!$D100="PLT",'FY_25-26'!$D100="KM"),"BUSINESS UNIT 1 - KIRAN","BUSINESS UNIT 2 - SHIFALI"))</f>
        <v>BUSINESS UNIT 2 - SHIFALI</v>
      </c>
      <c r="B100" s="26">
        <f>IF('FY_25-26'!$C100&lt;&gt;"",ROW()-ROW($B$2),"")</f>
        <v>98</v>
      </c>
      <c r="C100" s="26" t="s">
        <v>287</v>
      </c>
      <c r="D100" s="26" t="s">
        <v>116</v>
      </c>
      <c r="E100" s="27" t="s">
        <v>377</v>
      </c>
      <c r="F100" s="26" t="s">
        <v>26</v>
      </c>
      <c r="G100" s="26" t="s">
        <v>27</v>
      </c>
      <c r="H100" s="26" t="s">
        <v>378</v>
      </c>
      <c r="I100" s="26" t="s">
        <v>36</v>
      </c>
      <c r="J100" s="26" t="s">
        <v>29</v>
      </c>
      <c r="K100" s="26">
        <v>3402612</v>
      </c>
      <c r="L100" s="26" t="s">
        <v>30</v>
      </c>
      <c r="M100" s="26" t="s">
        <v>379</v>
      </c>
      <c r="N100" s="27" t="s">
        <v>380</v>
      </c>
      <c r="O100" s="28">
        <v>45967</v>
      </c>
      <c r="P100" s="26">
        <v>150</v>
      </c>
      <c r="Q100" s="29" t="s">
        <v>31</v>
      </c>
      <c r="R100" s="30">
        <v>6.25</v>
      </c>
      <c r="S100" s="29" t="str">
        <f t="shared" si="12"/>
        <v>-</v>
      </c>
      <c r="T100" s="30">
        <f t="shared" si="13"/>
        <v>937.5</v>
      </c>
      <c r="U100" s="34">
        <v>46037</v>
      </c>
      <c r="V100" s="31" t="s">
        <v>31</v>
      </c>
      <c r="W100" s="33"/>
      <c r="X100" s="36" t="s">
        <v>32</v>
      </c>
      <c r="Y100" s="33" t="s">
        <v>634</v>
      </c>
      <c r="Z100" s="33" t="s">
        <v>632</v>
      </c>
      <c r="AA100" s="33" t="s">
        <v>636</v>
      </c>
      <c r="AB100" s="33" t="s">
        <v>628</v>
      </c>
    </row>
    <row r="101" spans="1:28" ht="24">
      <c r="A101" s="12" t="str">
        <f>IF('FY_25-26'!$D101="","",IF(OR('FY_25-26'!$D101="BOOHOO LADIES",'FY_25-26'!$D101="PLT",'FY_25-26'!$D101="KM"),"BUSINESS UNIT 1 - KIRAN","BUSINESS UNIT 2 - SHIFALI"))</f>
        <v>BUSINESS UNIT 2 - SHIFALI</v>
      </c>
      <c r="B101" s="26">
        <f>IF('FY_25-26'!$C101&lt;&gt;"",ROW()-ROW($B$2),"")</f>
        <v>99</v>
      </c>
      <c r="C101" s="26" t="s">
        <v>287</v>
      </c>
      <c r="D101" s="26" t="s">
        <v>116</v>
      </c>
      <c r="E101" s="27" t="s">
        <v>377</v>
      </c>
      <c r="F101" s="26" t="s">
        <v>26</v>
      </c>
      <c r="G101" s="26" t="s">
        <v>27</v>
      </c>
      <c r="H101" s="26" t="s">
        <v>378</v>
      </c>
      <c r="I101" s="26" t="s">
        <v>36</v>
      </c>
      <c r="J101" s="26" t="s">
        <v>288</v>
      </c>
      <c r="K101" s="26">
        <v>3402613</v>
      </c>
      <c r="L101" s="26" t="s">
        <v>30</v>
      </c>
      <c r="M101" s="26" t="s">
        <v>379</v>
      </c>
      <c r="N101" s="27" t="s">
        <v>380</v>
      </c>
      <c r="O101" s="28">
        <v>45967</v>
      </c>
      <c r="P101" s="26">
        <v>150</v>
      </c>
      <c r="Q101" s="29" t="s">
        <v>31</v>
      </c>
      <c r="R101" s="30">
        <v>6.25</v>
      </c>
      <c r="S101" s="29" t="str">
        <f t="shared" si="12"/>
        <v>-</v>
      </c>
      <c r="T101" s="30">
        <f t="shared" si="13"/>
        <v>937.5</v>
      </c>
      <c r="U101" s="34">
        <v>46083</v>
      </c>
      <c r="V101" s="31" t="s">
        <v>31</v>
      </c>
      <c r="W101" s="33"/>
      <c r="X101" s="36" t="s">
        <v>32</v>
      </c>
      <c r="Y101" s="33" t="s">
        <v>634</v>
      </c>
      <c r="Z101" s="33" t="s">
        <v>632</v>
      </c>
      <c r="AA101" s="33" t="s">
        <v>636</v>
      </c>
      <c r="AB101" s="33" t="s">
        <v>628</v>
      </c>
    </row>
    <row r="102" spans="1:28" ht="24">
      <c r="A102" s="12" t="str">
        <f>IF('FY_25-26'!$D102="","",IF(OR('FY_25-26'!$D102="BOOHOO LADIES",'FY_25-26'!$D102="PLT",'FY_25-26'!$D102="KM"),"BUSINESS UNIT 1 - KIRAN","BUSINESS UNIT 2 - SHIFALI"))</f>
        <v>BUSINESS UNIT 2 - SHIFALI</v>
      </c>
      <c r="B102" s="26">
        <f>IF('FY_25-26'!$C102&lt;&gt;"",ROW()-ROW($B$2),"")</f>
        <v>100</v>
      </c>
      <c r="C102" s="26" t="s">
        <v>287</v>
      </c>
      <c r="D102" s="26" t="s">
        <v>116</v>
      </c>
      <c r="E102" s="27" t="s">
        <v>377</v>
      </c>
      <c r="F102" s="26" t="s">
        <v>26</v>
      </c>
      <c r="G102" s="26" t="s">
        <v>27</v>
      </c>
      <c r="H102" s="26" t="s">
        <v>378</v>
      </c>
      <c r="I102" s="26" t="s">
        <v>36</v>
      </c>
      <c r="J102" s="26" t="s">
        <v>143</v>
      </c>
      <c r="K102" s="26">
        <v>3402613</v>
      </c>
      <c r="L102" s="26" t="s">
        <v>30</v>
      </c>
      <c r="M102" s="26" t="s">
        <v>379</v>
      </c>
      <c r="N102" s="27" t="s">
        <v>380</v>
      </c>
      <c r="O102" s="28">
        <v>45967</v>
      </c>
      <c r="P102" s="26">
        <v>150</v>
      </c>
      <c r="Q102" s="29" t="s">
        <v>31</v>
      </c>
      <c r="R102" s="30">
        <v>6.25</v>
      </c>
      <c r="S102" s="29" t="str">
        <f t="shared" si="12"/>
        <v>-</v>
      </c>
      <c r="T102" s="30">
        <f t="shared" si="13"/>
        <v>937.5</v>
      </c>
      <c r="U102" s="34">
        <v>46083</v>
      </c>
      <c r="V102" s="31" t="s">
        <v>31</v>
      </c>
      <c r="W102" s="33"/>
      <c r="X102" s="36" t="s">
        <v>32</v>
      </c>
      <c r="Y102" s="33" t="s">
        <v>634</v>
      </c>
      <c r="Z102" s="33" t="s">
        <v>632</v>
      </c>
      <c r="AA102" s="33" t="s">
        <v>636</v>
      </c>
      <c r="AB102" s="33" t="s">
        <v>628</v>
      </c>
    </row>
    <row r="103" spans="1:28" ht="24">
      <c r="A103" s="12" t="str">
        <f>IF('FY_25-26'!$D103="","",IF(OR('FY_25-26'!$D103="BOOHOO LADIES",'FY_25-26'!$D103="PLT",'FY_25-26'!$D103="KM"),"BUSINESS UNIT 1 - KIRAN","BUSINESS UNIT 2 - SHIFALI"))</f>
        <v>BUSINESS UNIT 2 - SHIFALI</v>
      </c>
      <c r="B103" s="26">
        <f>IF('FY_25-26'!$C103&lt;&gt;"",ROW()-ROW($B$2),"")</f>
        <v>101</v>
      </c>
      <c r="C103" s="26" t="s">
        <v>287</v>
      </c>
      <c r="D103" s="26" t="s">
        <v>116</v>
      </c>
      <c r="E103" s="27" t="s">
        <v>377</v>
      </c>
      <c r="F103" s="26" t="s">
        <v>26</v>
      </c>
      <c r="G103" s="26" t="s">
        <v>27</v>
      </c>
      <c r="H103" s="26" t="s">
        <v>378</v>
      </c>
      <c r="I103" s="26" t="s">
        <v>36</v>
      </c>
      <c r="J103" s="26" t="s">
        <v>105</v>
      </c>
      <c r="K103" s="26">
        <v>3402613</v>
      </c>
      <c r="L103" s="26" t="s">
        <v>30</v>
      </c>
      <c r="M103" s="26" t="s">
        <v>379</v>
      </c>
      <c r="N103" s="27" t="s">
        <v>380</v>
      </c>
      <c r="O103" s="28">
        <v>45967</v>
      </c>
      <c r="P103" s="26">
        <v>100</v>
      </c>
      <c r="Q103" s="29" t="s">
        <v>31</v>
      </c>
      <c r="R103" s="30">
        <v>6.25</v>
      </c>
      <c r="S103" s="29" t="str">
        <f t="shared" si="12"/>
        <v>-</v>
      </c>
      <c r="T103" s="30">
        <f t="shared" si="13"/>
        <v>625</v>
      </c>
      <c r="U103" s="34">
        <v>46083</v>
      </c>
      <c r="V103" s="31" t="s">
        <v>31</v>
      </c>
      <c r="W103" s="33"/>
      <c r="X103" s="36" t="s">
        <v>32</v>
      </c>
      <c r="Y103" s="33" t="s">
        <v>634</v>
      </c>
      <c r="Z103" s="33" t="s">
        <v>632</v>
      </c>
      <c r="AA103" s="33" t="s">
        <v>636</v>
      </c>
      <c r="AB103" s="33" t="s">
        <v>628</v>
      </c>
    </row>
    <row r="104" spans="1:28" ht="24">
      <c r="A104" s="12" t="str">
        <f>IF('FY_25-26'!$D104="","",IF(OR('FY_25-26'!$D104="BOOHOO LADIES",'FY_25-26'!$D104="PLT",'FY_25-26'!$D104="KM"),"BUSINESS UNIT 1 - KIRAN","BUSINESS UNIT 2 - SHIFALI"))</f>
        <v>BUSINESS UNIT 2 - SHIFALI</v>
      </c>
      <c r="B104" s="26">
        <f>IF('FY_25-26'!$C104&lt;&gt;"",ROW()-ROW($B$2),"")</f>
        <v>102</v>
      </c>
      <c r="C104" s="26" t="s">
        <v>287</v>
      </c>
      <c r="D104" s="26" t="s">
        <v>116</v>
      </c>
      <c r="E104" s="27" t="s">
        <v>377</v>
      </c>
      <c r="F104" s="26" t="s">
        <v>26</v>
      </c>
      <c r="G104" s="26" t="s">
        <v>27</v>
      </c>
      <c r="H104" s="26" t="s">
        <v>378</v>
      </c>
      <c r="I104" s="26" t="s">
        <v>36</v>
      </c>
      <c r="J104" s="26" t="s">
        <v>29</v>
      </c>
      <c r="K104" s="26">
        <v>3402613</v>
      </c>
      <c r="L104" s="26" t="s">
        <v>30</v>
      </c>
      <c r="M104" s="26" t="s">
        <v>379</v>
      </c>
      <c r="N104" s="27" t="s">
        <v>380</v>
      </c>
      <c r="O104" s="28">
        <v>45967</v>
      </c>
      <c r="P104" s="26">
        <v>150</v>
      </c>
      <c r="Q104" s="29" t="s">
        <v>31</v>
      </c>
      <c r="R104" s="30">
        <v>6.25</v>
      </c>
      <c r="S104" s="29" t="str">
        <f t="shared" si="12"/>
        <v>-</v>
      </c>
      <c r="T104" s="30">
        <f t="shared" si="13"/>
        <v>937.5</v>
      </c>
      <c r="U104" s="34">
        <v>46083</v>
      </c>
      <c r="V104" s="31" t="s">
        <v>31</v>
      </c>
      <c r="W104" s="33"/>
      <c r="X104" s="36" t="s">
        <v>32</v>
      </c>
      <c r="Y104" s="33" t="s">
        <v>634</v>
      </c>
      <c r="Z104" s="33" t="s">
        <v>632</v>
      </c>
      <c r="AA104" s="33" t="s">
        <v>636</v>
      </c>
      <c r="AB104" s="33" t="s">
        <v>628</v>
      </c>
    </row>
    <row r="105" spans="1:28" ht="24">
      <c r="A105" s="10" t="str">
        <f>IF('FY_25-26'!$D105="","",IF(OR('FY_25-26'!$D105="BOOHOO LADIES",'FY_25-26'!$D105="PLT",'FY_25-26'!$D105="KM"),"BUSINESS UNIT 1 - KIRAN","BUSINESS UNIT 2 - SHIFALI"))</f>
        <v>BUSINESS UNIT 2 - SHIFALI</v>
      </c>
      <c r="B105" s="26">
        <f>IF('FY_25-26'!$C105&lt;&gt;"",ROW()-ROW($B$2),"")</f>
        <v>103</v>
      </c>
      <c r="C105" s="26" t="s">
        <v>287</v>
      </c>
      <c r="D105" s="26" t="s">
        <v>116</v>
      </c>
      <c r="E105" s="27" t="s">
        <v>377</v>
      </c>
      <c r="F105" s="26" t="s">
        <v>26</v>
      </c>
      <c r="G105" s="26" t="s">
        <v>27</v>
      </c>
      <c r="H105" s="26" t="s">
        <v>381</v>
      </c>
      <c r="I105" s="26" t="s">
        <v>36</v>
      </c>
      <c r="J105" s="26" t="s">
        <v>143</v>
      </c>
      <c r="K105" s="26">
        <v>3402642</v>
      </c>
      <c r="L105" s="26" t="s">
        <v>30</v>
      </c>
      <c r="M105" s="26" t="s">
        <v>382</v>
      </c>
      <c r="N105" s="27" t="s">
        <v>383</v>
      </c>
      <c r="O105" s="28">
        <v>45967</v>
      </c>
      <c r="P105" s="26">
        <v>100</v>
      </c>
      <c r="Q105" s="29" t="s">
        <v>31</v>
      </c>
      <c r="R105" s="30">
        <v>5.65</v>
      </c>
      <c r="S105" s="29" t="str">
        <f t="shared" si="12"/>
        <v>-</v>
      </c>
      <c r="T105" s="30">
        <f t="shared" si="13"/>
        <v>565</v>
      </c>
      <c r="U105" s="34">
        <v>46037</v>
      </c>
      <c r="V105" s="31" t="s">
        <v>31</v>
      </c>
      <c r="W105" s="33"/>
      <c r="X105" s="36" t="s">
        <v>32</v>
      </c>
      <c r="Y105" s="33" t="s">
        <v>634</v>
      </c>
      <c r="Z105" s="33" t="s">
        <v>632</v>
      </c>
      <c r="AA105" s="33" t="s">
        <v>636</v>
      </c>
      <c r="AB105" s="33" t="s">
        <v>628</v>
      </c>
    </row>
    <row r="106" spans="1:28" ht="30">
      <c r="A106" s="10" t="str">
        <f>IF('FY_25-26'!$D106="","",IF(OR('FY_25-26'!$D106="BOOHOO LADIES",'FY_25-26'!$D106="PLT",'FY_25-26'!$D106="KM"),"BUSINESS UNIT 1 - KIRAN","BUSINESS UNIT 2 - SHIFALI"))</f>
        <v>BUSINESS UNIT 2 - SHIFALI</v>
      </c>
      <c r="B106" s="26">
        <f>IF('FY_25-26'!$C106&lt;&gt;"",ROW()-ROW($B$2),"")</f>
        <v>104</v>
      </c>
      <c r="C106" s="26" t="s">
        <v>102</v>
      </c>
      <c r="D106" s="26" t="s">
        <v>103</v>
      </c>
      <c r="E106" s="27" t="s">
        <v>390</v>
      </c>
      <c r="F106" s="26" t="s">
        <v>387</v>
      </c>
      <c r="G106" s="26" t="s">
        <v>27</v>
      </c>
      <c r="H106" s="26" t="s">
        <v>363</v>
      </c>
      <c r="I106" s="26" t="s">
        <v>36</v>
      </c>
      <c r="J106" s="26" t="s">
        <v>289</v>
      </c>
      <c r="K106" s="26">
        <v>3407820</v>
      </c>
      <c r="L106" s="26" t="s">
        <v>30</v>
      </c>
      <c r="M106" s="26" t="s">
        <v>364</v>
      </c>
      <c r="N106" s="27" t="s">
        <v>391</v>
      </c>
      <c r="O106" s="28">
        <v>45980</v>
      </c>
      <c r="P106" s="26">
        <v>300</v>
      </c>
      <c r="Q106" s="29" t="s">
        <v>31</v>
      </c>
      <c r="R106" s="30">
        <v>9.0399999999999991</v>
      </c>
      <c r="S106" s="29" t="str">
        <f t="shared" ref="S106:S124" si="14">IF($Q106="","",IF($Q106="-","-",$P106*$Q106))</f>
        <v>-</v>
      </c>
      <c r="T106" s="30">
        <f t="shared" ref="T106:T124" si="15">IF($R106="","",IF($R106="-","-",$P106*$R106))</f>
        <v>2711.9999999999995</v>
      </c>
      <c r="U106" s="34">
        <v>46041</v>
      </c>
      <c r="V106" s="34">
        <v>46069</v>
      </c>
      <c r="W106" s="33"/>
      <c r="X106" s="36" t="s">
        <v>40</v>
      </c>
      <c r="Y106" s="33" t="s">
        <v>635</v>
      </c>
      <c r="Z106" s="33" t="s">
        <v>632</v>
      </c>
      <c r="AA106" s="33" t="s">
        <v>636</v>
      </c>
      <c r="AB106" s="33" t="s">
        <v>628</v>
      </c>
    </row>
    <row r="107" spans="1:28" ht="30">
      <c r="A107" s="12" t="str">
        <f>IF('FY_25-26'!$D107="","",IF(OR('FY_25-26'!$D107="BOOHOO LADIES",'FY_25-26'!$D107="PLT",'FY_25-26'!$D107="KM"),"BUSINESS UNIT 1 - KIRAN","BUSINESS UNIT 2 - SHIFALI"))</f>
        <v>BUSINESS UNIT 2 - SHIFALI</v>
      </c>
      <c r="B107" s="26">
        <f>IF('FY_25-26'!$C107&lt;&gt;"",ROW()-ROW($B$2),"")</f>
        <v>105</v>
      </c>
      <c r="C107" s="26" t="s">
        <v>102</v>
      </c>
      <c r="D107" s="26" t="s">
        <v>103</v>
      </c>
      <c r="E107" s="27" t="s">
        <v>390</v>
      </c>
      <c r="F107" s="26" t="s">
        <v>387</v>
      </c>
      <c r="G107" s="26" t="s">
        <v>27</v>
      </c>
      <c r="H107" s="26" t="s">
        <v>363</v>
      </c>
      <c r="I107" s="26" t="s">
        <v>36</v>
      </c>
      <c r="J107" s="26" t="s">
        <v>124</v>
      </c>
      <c r="K107" s="26">
        <v>3407823</v>
      </c>
      <c r="L107" s="26" t="s">
        <v>30</v>
      </c>
      <c r="M107" s="26" t="s">
        <v>364</v>
      </c>
      <c r="N107" s="27" t="s">
        <v>391</v>
      </c>
      <c r="O107" s="28">
        <v>45980</v>
      </c>
      <c r="P107" s="26">
        <v>300</v>
      </c>
      <c r="Q107" s="29" t="s">
        <v>31</v>
      </c>
      <c r="R107" s="30">
        <v>9.0399999999999991</v>
      </c>
      <c r="S107" s="29" t="str">
        <f t="shared" si="14"/>
        <v>-</v>
      </c>
      <c r="T107" s="30">
        <f t="shared" si="15"/>
        <v>2711.9999999999995</v>
      </c>
      <c r="U107" s="34">
        <v>46041</v>
      </c>
      <c r="V107" s="34">
        <v>46069</v>
      </c>
      <c r="W107" s="33"/>
      <c r="X107" s="36" t="s">
        <v>40</v>
      </c>
      <c r="Y107" s="33" t="s">
        <v>635</v>
      </c>
      <c r="Z107" s="33" t="s">
        <v>632</v>
      </c>
      <c r="AA107" s="33" t="s">
        <v>636</v>
      </c>
      <c r="AB107" s="33" t="s">
        <v>628</v>
      </c>
    </row>
    <row r="108" spans="1:28" ht="24">
      <c r="A108" s="12" t="str">
        <f>IF('FY_25-26'!$D108="","",IF(OR('FY_25-26'!$D108="BOOHOO LADIES",'FY_25-26'!$D108="PLT",'FY_25-26'!$D108="KM"),"BUSINESS UNIT 1 - KIRAN","BUSINESS UNIT 2 - SHIFALI"))</f>
        <v>BUSINESS UNIT 2 - SHIFALI</v>
      </c>
      <c r="B108" s="26">
        <f>IF('FY_25-26'!$C108&lt;&gt;"",ROW()-ROW($B$2),"")</f>
        <v>106</v>
      </c>
      <c r="C108" s="26" t="s">
        <v>102</v>
      </c>
      <c r="D108" s="26" t="s">
        <v>103</v>
      </c>
      <c r="E108" s="27" t="s">
        <v>390</v>
      </c>
      <c r="F108" s="26" t="s">
        <v>387</v>
      </c>
      <c r="G108" s="26" t="s">
        <v>27</v>
      </c>
      <c r="H108" s="26" t="s">
        <v>365</v>
      </c>
      <c r="I108" s="26" t="s">
        <v>36</v>
      </c>
      <c r="J108" s="26" t="s">
        <v>142</v>
      </c>
      <c r="K108" s="26">
        <v>3407818</v>
      </c>
      <c r="L108" s="26" t="s">
        <v>30</v>
      </c>
      <c r="M108" s="26" t="s">
        <v>366</v>
      </c>
      <c r="N108" s="27" t="s">
        <v>392</v>
      </c>
      <c r="O108" s="28">
        <v>45980</v>
      </c>
      <c r="P108" s="26">
        <v>452</v>
      </c>
      <c r="Q108" s="29" t="s">
        <v>31</v>
      </c>
      <c r="R108" s="30">
        <v>8.08</v>
      </c>
      <c r="S108" s="29" t="str">
        <f t="shared" si="14"/>
        <v>-</v>
      </c>
      <c r="T108" s="30">
        <f t="shared" si="15"/>
        <v>3652.16</v>
      </c>
      <c r="U108" s="34">
        <v>46041</v>
      </c>
      <c r="V108" s="34" t="s">
        <v>31</v>
      </c>
      <c r="W108" s="33"/>
      <c r="X108" s="36" t="s">
        <v>32</v>
      </c>
      <c r="Y108" s="33" t="s">
        <v>634</v>
      </c>
      <c r="Z108" s="33" t="s">
        <v>632</v>
      </c>
      <c r="AA108" s="33" t="s">
        <v>636</v>
      </c>
      <c r="AB108" s="33" t="s">
        <v>628</v>
      </c>
    </row>
    <row r="109" spans="1:28" ht="30">
      <c r="A109" s="10" t="str">
        <f>IF('FY_25-26'!$D109="","",IF(OR('FY_25-26'!$D109="BOOHOO LADIES",'FY_25-26'!$D109="PLT",'FY_25-26'!$D109="KM"),"BUSINESS UNIT 1 - KIRAN","BUSINESS UNIT 2 - SHIFALI"))</f>
        <v>BUSINESS UNIT 2 - SHIFALI</v>
      </c>
      <c r="B109" s="26">
        <f>IF('FY_25-26'!$C109&lt;&gt;"",ROW()-ROW($B$2),"")</f>
        <v>107</v>
      </c>
      <c r="C109" s="26" t="s">
        <v>102</v>
      </c>
      <c r="D109" s="26" t="s">
        <v>103</v>
      </c>
      <c r="E109" s="27" t="s">
        <v>390</v>
      </c>
      <c r="F109" s="26" t="s">
        <v>387</v>
      </c>
      <c r="G109" s="26" t="s">
        <v>27</v>
      </c>
      <c r="H109" s="26" t="s">
        <v>365</v>
      </c>
      <c r="I109" s="26" t="s">
        <v>36</v>
      </c>
      <c r="J109" s="26" t="s">
        <v>393</v>
      </c>
      <c r="K109" s="26">
        <v>3407827</v>
      </c>
      <c r="L109" s="26" t="s">
        <v>30</v>
      </c>
      <c r="M109" s="26" t="s">
        <v>366</v>
      </c>
      <c r="N109" s="27" t="s">
        <v>367</v>
      </c>
      <c r="O109" s="28">
        <v>45980</v>
      </c>
      <c r="P109" s="26">
        <v>200</v>
      </c>
      <c r="Q109" s="29" t="s">
        <v>31</v>
      </c>
      <c r="R109" s="30">
        <v>7.74</v>
      </c>
      <c r="S109" s="29" t="str">
        <f t="shared" si="14"/>
        <v>-</v>
      </c>
      <c r="T109" s="30">
        <f t="shared" si="15"/>
        <v>1548</v>
      </c>
      <c r="U109" s="34">
        <v>46041</v>
      </c>
      <c r="V109" s="34" t="s">
        <v>31</v>
      </c>
      <c r="W109" s="33"/>
      <c r="X109" s="36" t="s">
        <v>32</v>
      </c>
      <c r="Y109" s="33" t="s">
        <v>634</v>
      </c>
      <c r="Z109" s="33" t="s">
        <v>632</v>
      </c>
      <c r="AA109" s="33" t="s">
        <v>636</v>
      </c>
      <c r="AB109" s="33" t="s">
        <v>628</v>
      </c>
    </row>
    <row r="110" spans="1:28" ht="24">
      <c r="A110" s="10" t="str">
        <f>IF('FY_25-26'!$D110="","",IF(OR('FY_25-26'!$D110="BOOHOO LADIES",'FY_25-26'!$D110="PLT",'FY_25-26'!$D110="KM"),"BUSINESS UNIT 1 - KIRAN","BUSINESS UNIT 2 - SHIFALI"))</f>
        <v>BUSINESS UNIT 1 - KIRAN</v>
      </c>
      <c r="B110" s="26">
        <f>IF('FY_25-26'!$C110&lt;&gt;"",ROW()-ROW($B$2),"")</f>
        <v>108</v>
      </c>
      <c r="C110" s="26" t="s">
        <v>386</v>
      </c>
      <c r="D110" s="26" t="s">
        <v>71</v>
      </c>
      <c r="E110" s="27" t="s">
        <v>389</v>
      </c>
      <c r="F110" s="26" t="s">
        <v>26</v>
      </c>
      <c r="G110" s="26" t="s">
        <v>27</v>
      </c>
      <c r="H110" s="26" t="s">
        <v>394</v>
      </c>
      <c r="I110" s="26" t="s">
        <v>36</v>
      </c>
      <c r="J110" s="26" t="s">
        <v>269</v>
      </c>
      <c r="K110" s="26">
        <v>70023289</v>
      </c>
      <c r="L110" s="26" t="s">
        <v>30</v>
      </c>
      <c r="M110" s="26" t="s">
        <v>395</v>
      </c>
      <c r="N110" s="27" t="s">
        <v>396</v>
      </c>
      <c r="O110" s="28">
        <v>45980</v>
      </c>
      <c r="P110" s="26">
        <v>300</v>
      </c>
      <c r="Q110" s="29" t="s">
        <v>31</v>
      </c>
      <c r="R110" s="30">
        <v>7.8</v>
      </c>
      <c r="S110" s="29" t="str">
        <f t="shared" si="14"/>
        <v>-</v>
      </c>
      <c r="T110" s="30">
        <f t="shared" si="15"/>
        <v>2340</v>
      </c>
      <c r="U110" s="34">
        <v>46044</v>
      </c>
      <c r="V110" s="34">
        <v>46051</v>
      </c>
      <c r="W110" s="33"/>
      <c r="X110" s="36" t="s">
        <v>40</v>
      </c>
      <c r="Y110" s="33" t="s">
        <v>635</v>
      </c>
      <c r="Z110" s="33" t="s">
        <v>632</v>
      </c>
      <c r="AA110" s="33" t="s">
        <v>636</v>
      </c>
      <c r="AB110" s="33" t="s">
        <v>628</v>
      </c>
    </row>
    <row r="111" spans="1:28" ht="24">
      <c r="A111" s="12" t="str">
        <f>IF('FY_25-26'!$D111="","",IF(OR('FY_25-26'!$D111="BOOHOO LADIES",'FY_25-26'!$D111="PLT",'FY_25-26'!$D111="KM"),"BUSINESS UNIT 1 - KIRAN","BUSINESS UNIT 2 - SHIFALI"))</f>
        <v>BUSINESS UNIT 1 - KIRAN</v>
      </c>
      <c r="B111" s="26">
        <f>IF('FY_25-26'!$C111&lt;&gt;"",ROW()-ROW($B$2),"")</f>
        <v>109</v>
      </c>
      <c r="C111" s="26" t="s">
        <v>386</v>
      </c>
      <c r="D111" s="26" t="s">
        <v>71</v>
      </c>
      <c r="E111" s="27" t="s">
        <v>389</v>
      </c>
      <c r="F111" s="26" t="s">
        <v>26</v>
      </c>
      <c r="G111" s="26" t="s">
        <v>27</v>
      </c>
      <c r="H111" s="26" t="s">
        <v>397</v>
      </c>
      <c r="I111" s="26" t="s">
        <v>36</v>
      </c>
      <c r="J111" s="26" t="s">
        <v>178</v>
      </c>
      <c r="K111" s="26">
        <v>70023290</v>
      </c>
      <c r="L111" s="26" t="s">
        <v>30</v>
      </c>
      <c r="M111" s="26" t="s">
        <v>395</v>
      </c>
      <c r="N111" s="27" t="s">
        <v>398</v>
      </c>
      <c r="O111" s="28">
        <v>45980</v>
      </c>
      <c r="P111" s="26">
        <v>300</v>
      </c>
      <c r="Q111" s="29" t="s">
        <v>31</v>
      </c>
      <c r="R111" s="30">
        <v>7.8</v>
      </c>
      <c r="S111" s="29" t="str">
        <f t="shared" si="14"/>
        <v>-</v>
      </c>
      <c r="T111" s="30">
        <f t="shared" si="15"/>
        <v>2340</v>
      </c>
      <c r="U111" s="34">
        <v>46044</v>
      </c>
      <c r="V111" s="34">
        <v>46051</v>
      </c>
      <c r="W111" s="33"/>
      <c r="X111" s="36" t="s">
        <v>40</v>
      </c>
      <c r="Y111" s="33" t="s">
        <v>635</v>
      </c>
      <c r="Z111" s="33" t="s">
        <v>632</v>
      </c>
      <c r="AA111" s="33" t="s">
        <v>636</v>
      </c>
      <c r="AB111" s="33" t="s">
        <v>628</v>
      </c>
    </row>
    <row r="112" spans="1:28" ht="30">
      <c r="A112" s="10" t="str">
        <f>IF('FY_25-26'!$D112="","",IF(OR('FY_25-26'!$D112="BOOHOO LADIES",'FY_25-26'!$D112="PLT",'FY_25-26'!$D112="KM"),"BUSINESS UNIT 1 - KIRAN","BUSINESS UNIT 2 - SHIFALI"))</f>
        <v>BUSINESS UNIT 2 - SHIFALI</v>
      </c>
      <c r="B112" s="26">
        <f>IF('FY_25-26'!$C112&lt;&gt;"",ROW()-ROW($B$2),"")</f>
        <v>110</v>
      </c>
      <c r="C112" s="26" t="s">
        <v>102</v>
      </c>
      <c r="D112" s="26" t="s">
        <v>103</v>
      </c>
      <c r="E112" s="27" t="s">
        <v>399</v>
      </c>
      <c r="F112" s="26" t="s">
        <v>387</v>
      </c>
      <c r="G112" s="26" t="s">
        <v>27</v>
      </c>
      <c r="H112" s="26" t="s">
        <v>400</v>
      </c>
      <c r="I112" s="26" t="s">
        <v>36</v>
      </c>
      <c r="J112" s="26" t="s">
        <v>100</v>
      </c>
      <c r="K112" s="26">
        <v>3407531</v>
      </c>
      <c r="L112" s="26" t="s">
        <v>30</v>
      </c>
      <c r="M112" s="26" t="s">
        <v>401</v>
      </c>
      <c r="N112" s="27" t="s">
        <v>402</v>
      </c>
      <c r="O112" s="28">
        <v>45981</v>
      </c>
      <c r="P112" s="26">
        <v>248</v>
      </c>
      <c r="Q112" s="29" t="s">
        <v>31</v>
      </c>
      <c r="R112" s="30">
        <v>5.6</v>
      </c>
      <c r="S112" s="29" t="str">
        <f t="shared" si="14"/>
        <v>-</v>
      </c>
      <c r="T112" s="30">
        <f t="shared" si="15"/>
        <v>1388.8</v>
      </c>
      <c r="U112" s="34">
        <v>46055</v>
      </c>
      <c r="V112" s="34" t="s">
        <v>31</v>
      </c>
      <c r="W112" s="33"/>
      <c r="X112" s="36" t="s">
        <v>40</v>
      </c>
      <c r="Y112" s="33" t="s">
        <v>635</v>
      </c>
      <c r="Z112" s="33" t="s">
        <v>632</v>
      </c>
      <c r="AA112" s="33" t="s">
        <v>636</v>
      </c>
      <c r="AB112" s="33" t="s">
        <v>628</v>
      </c>
    </row>
    <row r="113" spans="1:28" ht="30">
      <c r="A113" s="12" t="str">
        <f>IF('FY_25-26'!$D113="","",IF(OR('FY_25-26'!$D113="BOOHOO LADIES",'FY_25-26'!$D113="PLT",'FY_25-26'!$D113="KM"),"BUSINESS UNIT 1 - KIRAN","BUSINESS UNIT 2 - SHIFALI"))</f>
        <v>BUSINESS UNIT 2 - SHIFALI</v>
      </c>
      <c r="B113" s="26">
        <f>IF('FY_25-26'!$C113&lt;&gt;"",ROW()-ROW($B$2),"")</f>
        <v>111</v>
      </c>
      <c r="C113" s="26" t="s">
        <v>102</v>
      </c>
      <c r="D113" s="26" t="s">
        <v>103</v>
      </c>
      <c r="E113" s="27" t="s">
        <v>399</v>
      </c>
      <c r="F113" s="26" t="s">
        <v>387</v>
      </c>
      <c r="G113" s="26" t="s">
        <v>27</v>
      </c>
      <c r="H113" s="26" t="s">
        <v>400</v>
      </c>
      <c r="I113" s="26" t="s">
        <v>36</v>
      </c>
      <c r="J113" s="26" t="s">
        <v>124</v>
      </c>
      <c r="K113" s="26">
        <v>3407531</v>
      </c>
      <c r="L113" s="26" t="s">
        <v>30</v>
      </c>
      <c r="M113" s="26" t="s">
        <v>401</v>
      </c>
      <c r="N113" s="27" t="s">
        <v>402</v>
      </c>
      <c r="O113" s="28">
        <v>45981</v>
      </c>
      <c r="P113" s="26">
        <v>247</v>
      </c>
      <c r="Q113" s="29" t="s">
        <v>31</v>
      </c>
      <c r="R113" s="30">
        <v>5.6</v>
      </c>
      <c r="S113" s="29" t="str">
        <f t="shared" si="14"/>
        <v>-</v>
      </c>
      <c r="T113" s="30">
        <f t="shared" si="15"/>
        <v>1383.1999999999998</v>
      </c>
      <c r="U113" s="34">
        <v>46055</v>
      </c>
      <c r="V113" s="34" t="s">
        <v>31</v>
      </c>
      <c r="W113" s="33"/>
      <c r="X113" s="36" t="s">
        <v>40</v>
      </c>
      <c r="Y113" s="33" t="s">
        <v>635</v>
      </c>
      <c r="Z113" s="33" t="s">
        <v>632</v>
      </c>
      <c r="AA113" s="33" t="s">
        <v>636</v>
      </c>
      <c r="AB113" s="33" t="s">
        <v>628</v>
      </c>
    </row>
    <row r="114" spans="1:28" ht="24">
      <c r="A114" s="12" t="str">
        <f>IF('FY_25-26'!$D114="","",IF(OR('FY_25-26'!$D114="BOOHOO LADIES",'FY_25-26'!$D114="PLT",'FY_25-26'!$D114="KM"),"BUSINESS UNIT 1 - KIRAN","BUSINESS UNIT 2 - SHIFALI"))</f>
        <v>BUSINESS UNIT 2 - SHIFALI</v>
      </c>
      <c r="B114" s="26">
        <f>IF('FY_25-26'!$C114&lt;&gt;"",ROW()-ROW($B$2),"")</f>
        <v>112</v>
      </c>
      <c r="C114" s="26" t="s">
        <v>102</v>
      </c>
      <c r="D114" s="26" t="s">
        <v>103</v>
      </c>
      <c r="E114" s="27" t="s">
        <v>399</v>
      </c>
      <c r="F114" s="26" t="s">
        <v>387</v>
      </c>
      <c r="G114" s="26" t="s">
        <v>27</v>
      </c>
      <c r="H114" s="26" t="s">
        <v>403</v>
      </c>
      <c r="I114" s="26" t="s">
        <v>36</v>
      </c>
      <c r="J114" s="26" t="s">
        <v>100</v>
      </c>
      <c r="K114" s="26">
        <v>3407532</v>
      </c>
      <c r="L114" s="26" t="s">
        <v>30</v>
      </c>
      <c r="M114" s="26" t="s">
        <v>404</v>
      </c>
      <c r="N114" s="27" t="s">
        <v>405</v>
      </c>
      <c r="O114" s="28">
        <v>45981</v>
      </c>
      <c r="P114" s="26">
        <v>248</v>
      </c>
      <c r="Q114" s="29" t="s">
        <v>31</v>
      </c>
      <c r="R114" s="30">
        <v>5.7</v>
      </c>
      <c r="S114" s="29" t="str">
        <f t="shared" si="14"/>
        <v>-</v>
      </c>
      <c r="T114" s="30">
        <f t="shared" si="15"/>
        <v>1413.6000000000001</v>
      </c>
      <c r="U114" s="34">
        <v>46055</v>
      </c>
      <c r="V114" s="34" t="s">
        <v>31</v>
      </c>
      <c r="W114" s="33"/>
      <c r="X114" s="36" t="s">
        <v>40</v>
      </c>
      <c r="Y114" s="33" t="s">
        <v>635</v>
      </c>
      <c r="Z114" s="33" t="s">
        <v>632</v>
      </c>
      <c r="AA114" s="33" t="s">
        <v>636</v>
      </c>
      <c r="AB114" s="33" t="s">
        <v>628</v>
      </c>
    </row>
    <row r="115" spans="1:28" ht="24">
      <c r="A115" s="12" t="str">
        <f>IF('FY_25-26'!$D115="","",IF(OR('FY_25-26'!$D115="BOOHOO LADIES",'FY_25-26'!$D115="PLT",'FY_25-26'!$D115="KM"),"BUSINESS UNIT 1 - KIRAN","BUSINESS UNIT 2 - SHIFALI"))</f>
        <v>BUSINESS UNIT 2 - SHIFALI</v>
      </c>
      <c r="B115" s="26">
        <f>IF('FY_25-26'!$C115&lt;&gt;"",ROW()-ROW($B$2),"")</f>
        <v>113</v>
      </c>
      <c r="C115" s="26" t="s">
        <v>102</v>
      </c>
      <c r="D115" s="26" t="s">
        <v>103</v>
      </c>
      <c r="E115" s="27" t="s">
        <v>399</v>
      </c>
      <c r="F115" s="26" t="s">
        <v>387</v>
      </c>
      <c r="G115" s="26" t="s">
        <v>27</v>
      </c>
      <c r="H115" s="26" t="s">
        <v>403</v>
      </c>
      <c r="I115" s="26" t="s">
        <v>36</v>
      </c>
      <c r="J115" s="26" t="s">
        <v>63</v>
      </c>
      <c r="K115" s="26">
        <v>3407532</v>
      </c>
      <c r="L115" s="26" t="s">
        <v>30</v>
      </c>
      <c r="M115" s="26" t="s">
        <v>404</v>
      </c>
      <c r="N115" s="27" t="s">
        <v>405</v>
      </c>
      <c r="O115" s="28">
        <v>45981</v>
      </c>
      <c r="P115" s="26">
        <v>247</v>
      </c>
      <c r="Q115" s="29" t="s">
        <v>31</v>
      </c>
      <c r="R115" s="30">
        <v>5.7</v>
      </c>
      <c r="S115" s="29" t="str">
        <f t="shared" si="14"/>
        <v>-</v>
      </c>
      <c r="T115" s="30">
        <f t="shared" si="15"/>
        <v>1407.9</v>
      </c>
      <c r="U115" s="34">
        <v>46055</v>
      </c>
      <c r="V115" s="34" t="s">
        <v>31</v>
      </c>
      <c r="W115" s="33"/>
      <c r="X115" s="36" t="s">
        <v>40</v>
      </c>
      <c r="Y115" s="33" t="s">
        <v>635</v>
      </c>
      <c r="Z115" s="33" t="s">
        <v>632</v>
      </c>
      <c r="AA115" s="33" t="s">
        <v>636</v>
      </c>
      <c r="AB115" s="33" t="s">
        <v>628</v>
      </c>
    </row>
    <row r="116" spans="1:28" ht="24">
      <c r="A116" s="12" t="str">
        <f>IF('FY_25-26'!$D116="","",IF(OR('FY_25-26'!$D116="BOOHOO LADIES",'FY_25-26'!$D116="PLT",'FY_25-26'!$D116="KM"),"BUSINESS UNIT 1 - KIRAN","BUSINESS UNIT 2 - SHIFALI"))</f>
        <v>BUSINESS UNIT 1 - KIRAN</v>
      </c>
      <c r="B116" s="26">
        <f>IF('FY_25-26'!$C116&lt;&gt;"",ROW()-ROW($B$2),"")</f>
        <v>114</v>
      </c>
      <c r="C116" s="26" t="s">
        <v>70</v>
      </c>
      <c r="D116" s="26" t="s">
        <v>71</v>
      </c>
      <c r="E116" s="27" t="s">
        <v>389</v>
      </c>
      <c r="F116" s="26" t="s">
        <v>26</v>
      </c>
      <c r="G116" s="26" t="s">
        <v>27</v>
      </c>
      <c r="H116" s="26" t="s">
        <v>406</v>
      </c>
      <c r="I116" s="26" t="s">
        <v>36</v>
      </c>
      <c r="J116" s="26" t="s">
        <v>138</v>
      </c>
      <c r="K116" s="26">
        <v>70022972</v>
      </c>
      <c r="L116" s="26" t="s">
        <v>30</v>
      </c>
      <c r="M116" s="26" t="s">
        <v>407</v>
      </c>
      <c r="N116" s="27" t="s">
        <v>408</v>
      </c>
      <c r="O116" s="28">
        <v>45981</v>
      </c>
      <c r="P116" s="26">
        <v>250</v>
      </c>
      <c r="Q116" s="29" t="s">
        <v>31</v>
      </c>
      <c r="R116" s="30">
        <v>3.78</v>
      </c>
      <c r="S116" s="29" t="str">
        <f t="shared" si="14"/>
        <v>-</v>
      </c>
      <c r="T116" s="30">
        <f t="shared" si="15"/>
        <v>945</v>
      </c>
      <c r="U116" s="34">
        <v>46069</v>
      </c>
      <c r="V116" s="34" t="s">
        <v>31</v>
      </c>
      <c r="W116" s="33"/>
      <c r="X116" s="36" t="s">
        <v>40</v>
      </c>
      <c r="Y116" s="33" t="s">
        <v>635</v>
      </c>
      <c r="Z116" s="33" t="s">
        <v>632</v>
      </c>
      <c r="AA116" s="33" t="s">
        <v>636</v>
      </c>
      <c r="AB116" s="33" t="s">
        <v>628</v>
      </c>
    </row>
    <row r="117" spans="1:28" ht="24">
      <c r="A117" s="12" t="str">
        <f>IF('FY_25-26'!$D117="","",IF(OR('FY_25-26'!$D117="BOOHOO LADIES",'FY_25-26'!$D117="PLT",'FY_25-26'!$D117="KM"),"BUSINESS UNIT 1 - KIRAN","BUSINESS UNIT 2 - SHIFALI"))</f>
        <v>BUSINESS UNIT 1 - KIRAN</v>
      </c>
      <c r="B117" s="26">
        <f>IF('FY_25-26'!$C117&lt;&gt;"",ROW()-ROW($B$2),"")</f>
        <v>115</v>
      </c>
      <c r="C117" s="26" t="s">
        <v>70</v>
      </c>
      <c r="D117" s="26" t="s">
        <v>71</v>
      </c>
      <c r="E117" s="27" t="s">
        <v>389</v>
      </c>
      <c r="F117" s="26" t="s">
        <v>26</v>
      </c>
      <c r="G117" s="26" t="s">
        <v>27</v>
      </c>
      <c r="H117" s="26" t="s">
        <v>409</v>
      </c>
      <c r="I117" s="26" t="s">
        <v>36</v>
      </c>
      <c r="J117" s="26" t="s">
        <v>138</v>
      </c>
      <c r="K117" s="26">
        <v>70022976</v>
      </c>
      <c r="L117" s="26" t="s">
        <v>30</v>
      </c>
      <c r="M117" s="26" t="s">
        <v>407</v>
      </c>
      <c r="N117" s="27" t="s">
        <v>410</v>
      </c>
      <c r="O117" s="28">
        <v>45981</v>
      </c>
      <c r="P117" s="26">
        <v>250</v>
      </c>
      <c r="Q117" s="29" t="s">
        <v>31</v>
      </c>
      <c r="R117" s="30">
        <v>4.0999999999999996</v>
      </c>
      <c r="S117" s="29" t="str">
        <f t="shared" si="14"/>
        <v>-</v>
      </c>
      <c r="T117" s="30">
        <f t="shared" si="15"/>
        <v>1025</v>
      </c>
      <c r="U117" s="34">
        <v>46069</v>
      </c>
      <c r="V117" s="34" t="s">
        <v>31</v>
      </c>
      <c r="W117" s="33"/>
      <c r="X117" s="36" t="s">
        <v>40</v>
      </c>
      <c r="Y117" s="33" t="s">
        <v>635</v>
      </c>
      <c r="Z117" s="33" t="s">
        <v>632</v>
      </c>
      <c r="AA117" s="33" t="s">
        <v>636</v>
      </c>
      <c r="AB117" s="33" t="s">
        <v>628</v>
      </c>
    </row>
    <row r="118" spans="1:28" ht="24">
      <c r="A118" s="12" t="str">
        <f>IF('FY_25-26'!$D118="","",IF(OR('FY_25-26'!$D118="BOOHOO LADIES",'FY_25-26'!$D118="PLT",'FY_25-26'!$D118="KM"),"BUSINESS UNIT 1 - KIRAN","BUSINESS UNIT 2 - SHIFALI"))</f>
        <v>BUSINESS UNIT 1 - KIRAN</v>
      </c>
      <c r="B118" s="26">
        <f>IF('FY_25-26'!$C118&lt;&gt;"",ROW()-ROW($B$2),"")</f>
        <v>116</v>
      </c>
      <c r="C118" s="26" t="s">
        <v>70</v>
      </c>
      <c r="D118" s="26" t="s">
        <v>71</v>
      </c>
      <c r="E118" s="27" t="s">
        <v>389</v>
      </c>
      <c r="F118" s="26" t="s">
        <v>26</v>
      </c>
      <c r="G118" s="26" t="s">
        <v>27</v>
      </c>
      <c r="H118" s="26" t="s">
        <v>411</v>
      </c>
      <c r="I118" s="26" t="s">
        <v>36</v>
      </c>
      <c r="J118" s="26" t="s">
        <v>100</v>
      </c>
      <c r="K118" s="26">
        <v>70022979</v>
      </c>
      <c r="L118" s="26" t="s">
        <v>30</v>
      </c>
      <c r="M118" s="26" t="s">
        <v>357</v>
      </c>
      <c r="N118" s="27" t="s">
        <v>412</v>
      </c>
      <c r="O118" s="28">
        <v>45981</v>
      </c>
      <c r="P118" s="26">
        <v>249</v>
      </c>
      <c r="Q118" s="29" t="s">
        <v>31</v>
      </c>
      <c r="R118" s="30">
        <v>3.94</v>
      </c>
      <c r="S118" s="29" t="str">
        <f t="shared" si="14"/>
        <v>-</v>
      </c>
      <c r="T118" s="30">
        <f t="shared" si="15"/>
        <v>981.06</v>
      </c>
      <c r="U118" s="34">
        <v>46076</v>
      </c>
      <c r="V118" s="34" t="s">
        <v>31</v>
      </c>
      <c r="W118" s="33"/>
      <c r="X118" s="36" t="s">
        <v>40</v>
      </c>
      <c r="Y118" s="33" t="s">
        <v>635</v>
      </c>
      <c r="Z118" s="33" t="s">
        <v>632</v>
      </c>
      <c r="AA118" s="33" t="s">
        <v>636</v>
      </c>
      <c r="AB118" s="33" t="s">
        <v>628</v>
      </c>
    </row>
    <row r="119" spans="1:28" ht="24">
      <c r="A119" s="12" t="str">
        <f>IF('FY_25-26'!$D119="","",IF(OR('FY_25-26'!$D119="BOOHOO LADIES",'FY_25-26'!$D119="PLT",'FY_25-26'!$D119="KM"),"BUSINESS UNIT 1 - KIRAN","BUSINESS UNIT 2 - SHIFALI"))</f>
        <v>BUSINESS UNIT 1 - KIRAN</v>
      </c>
      <c r="B119" s="26">
        <f>IF('FY_25-26'!$C119&lt;&gt;"",ROW()-ROW($B$2),"")</f>
        <v>117</v>
      </c>
      <c r="C119" s="26" t="s">
        <v>70</v>
      </c>
      <c r="D119" s="26" t="s">
        <v>71</v>
      </c>
      <c r="E119" s="27" t="s">
        <v>389</v>
      </c>
      <c r="F119" s="26" t="s">
        <v>26</v>
      </c>
      <c r="G119" s="26" t="s">
        <v>27</v>
      </c>
      <c r="H119" s="26" t="s">
        <v>413</v>
      </c>
      <c r="I119" s="26" t="s">
        <v>36</v>
      </c>
      <c r="J119" s="26" t="s">
        <v>100</v>
      </c>
      <c r="K119" s="26">
        <v>70022988</v>
      </c>
      <c r="L119" s="26" t="s">
        <v>30</v>
      </c>
      <c r="M119" s="26" t="s">
        <v>357</v>
      </c>
      <c r="N119" s="27" t="s">
        <v>414</v>
      </c>
      <c r="O119" s="28">
        <v>45981</v>
      </c>
      <c r="P119" s="26">
        <v>249</v>
      </c>
      <c r="Q119" s="29" t="s">
        <v>31</v>
      </c>
      <c r="R119" s="30">
        <v>6.19</v>
      </c>
      <c r="S119" s="29" t="str">
        <f t="shared" si="14"/>
        <v>-</v>
      </c>
      <c r="T119" s="30">
        <f t="shared" si="15"/>
        <v>1541.3100000000002</v>
      </c>
      <c r="U119" s="34">
        <v>46076</v>
      </c>
      <c r="V119" s="34" t="s">
        <v>31</v>
      </c>
      <c r="W119" s="33"/>
      <c r="X119" s="36" t="s">
        <v>40</v>
      </c>
      <c r="Y119" s="33" t="s">
        <v>635</v>
      </c>
      <c r="Z119" s="33" t="s">
        <v>632</v>
      </c>
      <c r="AA119" s="33" t="s">
        <v>636</v>
      </c>
      <c r="AB119" s="33" t="s">
        <v>628</v>
      </c>
    </row>
    <row r="120" spans="1:28" ht="24">
      <c r="A120" s="12" t="str">
        <f>IF('FY_25-26'!$D120="","",IF(OR('FY_25-26'!$D120="BOOHOO LADIES",'FY_25-26'!$D120="PLT",'FY_25-26'!$D120="KM"),"BUSINESS UNIT 1 - KIRAN","BUSINESS UNIT 2 - SHIFALI"))</f>
        <v>BUSINESS UNIT 1 - KIRAN</v>
      </c>
      <c r="B120" s="26">
        <f>IF('FY_25-26'!$C120&lt;&gt;"",ROW()-ROW($B$2),"")</f>
        <v>118</v>
      </c>
      <c r="C120" s="26" t="s">
        <v>70</v>
      </c>
      <c r="D120" s="26" t="s">
        <v>71</v>
      </c>
      <c r="E120" s="27" t="s">
        <v>388</v>
      </c>
      <c r="F120" s="26" t="s">
        <v>26</v>
      </c>
      <c r="G120" s="26" t="s">
        <v>27</v>
      </c>
      <c r="H120" s="26" t="s">
        <v>415</v>
      </c>
      <c r="I120" s="26" t="s">
        <v>36</v>
      </c>
      <c r="J120" s="26" t="s">
        <v>124</v>
      </c>
      <c r="K120" s="26">
        <v>70023671</v>
      </c>
      <c r="L120" s="26" t="s">
        <v>30</v>
      </c>
      <c r="M120" s="26" t="s">
        <v>416</v>
      </c>
      <c r="N120" s="27" t="s">
        <v>417</v>
      </c>
      <c r="O120" s="28">
        <v>45981</v>
      </c>
      <c r="P120" s="26">
        <v>199</v>
      </c>
      <c r="Q120" s="29" t="s">
        <v>31</v>
      </c>
      <c r="R120" s="30">
        <v>3.65</v>
      </c>
      <c r="S120" s="29" t="str">
        <f t="shared" si="14"/>
        <v>-</v>
      </c>
      <c r="T120" s="30">
        <f t="shared" si="15"/>
        <v>726.35</v>
      </c>
      <c r="U120" s="34">
        <v>46075</v>
      </c>
      <c r="V120" s="34" t="s">
        <v>31</v>
      </c>
      <c r="W120" s="33"/>
      <c r="X120" s="36" t="s">
        <v>40</v>
      </c>
      <c r="Y120" s="33" t="s">
        <v>635</v>
      </c>
      <c r="Z120" s="33" t="s">
        <v>632</v>
      </c>
      <c r="AA120" s="33" t="s">
        <v>636</v>
      </c>
      <c r="AB120" s="33" t="s">
        <v>628</v>
      </c>
    </row>
    <row r="121" spans="1:28" ht="24">
      <c r="A121" s="10" t="str">
        <f>IF('FY_25-26'!$D121="","",IF(OR('FY_25-26'!$D121="BOOHOO LADIES",'FY_25-26'!$D121="PLT",'FY_25-26'!$D121="KM"),"BUSINESS UNIT 1 - KIRAN","BUSINESS UNIT 2 - SHIFALI"))</f>
        <v>BUSINESS UNIT 1 - KIRAN</v>
      </c>
      <c r="B121" s="26">
        <f>IF('FY_25-26'!$C121&lt;&gt;"",ROW()-ROW($B$2),"")</f>
        <v>119</v>
      </c>
      <c r="C121" s="26" t="s">
        <v>70</v>
      </c>
      <c r="D121" s="26" t="s">
        <v>150</v>
      </c>
      <c r="E121" s="27" t="s">
        <v>418</v>
      </c>
      <c r="F121" s="26" t="s">
        <v>26</v>
      </c>
      <c r="G121" s="26" t="s">
        <v>27</v>
      </c>
      <c r="H121" s="26" t="s">
        <v>419</v>
      </c>
      <c r="I121" s="26" t="s">
        <v>36</v>
      </c>
      <c r="J121" s="26" t="s">
        <v>29</v>
      </c>
      <c r="K121" s="26">
        <v>3408102</v>
      </c>
      <c r="L121" s="26" t="s">
        <v>30</v>
      </c>
      <c r="M121" s="26" t="s">
        <v>420</v>
      </c>
      <c r="N121" s="27" t="s">
        <v>421</v>
      </c>
      <c r="O121" s="28">
        <v>45983</v>
      </c>
      <c r="P121" s="26">
        <v>245</v>
      </c>
      <c r="Q121" s="29" t="s">
        <v>31</v>
      </c>
      <c r="R121" s="30">
        <v>7.19</v>
      </c>
      <c r="S121" s="29" t="str">
        <f t="shared" si="14"/>
        <v>-</v>
      </c>
      <c r="T121" s="30">
        <f t="shared" si="15"/>
        <v>1761.5500000000002</v>
      </c>
      <c r="U121" s="34">
        <v>46062</v>
      </c>
      <c r="V121" s="34" t="s">
        <v>31</v>
      </c>
      <c r="W121" s="33"/>
      <c r="X121" s="36" t="s">
        <v>40</v>
      </c>
      <c r="Y121" s="33" t="s">
        <v>635</v>
      </c>
      <c r="Z121" s="33" t="s">
        <v>632</v>
      </c>
      <c r="AA121" s="33" t="s">
        <v>636</v>
      </c>
      <c r="AB121" s="33" t="s">
        <v>628</v>
      </c>
    </row>
    <row r="122" spans="1:28" ht="24">
      <c r="A122" s="12" t="str">
        <f>IF('FY_25-26'!$D122="","",IF(OR('FY_25-26'!$D122="BOOHOO LADIES",'FY_25-26'!$D122="PLT",'FY_25-26'!$D122="KM"),"BUSINESS UNIT 1 - KIRAN","BUSINESS UNIT 2 - SHIFALI"))</f>
        <v>BUSINESS UNIT 1 - KIRAN</v>
      </c>
      <c r="B122" s="26">
        <f>IF('FY_25-26'!$C122&lt;&gt;"",ROW()-ROW($B$2),"")</f>
        <v>120</v>
      </c>
      <c r="C122" s="26" t="s">
        <v>358</v>
      </c>
      <c r="D122" s="26" t="s">
        <v>71</v>
      </c>
      <c r="E122" s="27" t="s">
        <v>385</v>
      </c>
      <c r="F122" s="26" t="s">
        <v>26</v>
      </c>
      <c r="G122" s="26" t="s">
        <v>27</v>
      </c>
      <c r="H122" s="26" t="s">
        <v>426</v>
      </c>
      <c r="I122" s="26" t="s">
        <v>36</v>
      </c>
      <c r="J122" s="26" t="s">
        <v>128</v>
      </c>
      <c r="K122" s="26">
        <v>70024031</v>
      </c>
      <c r="L122" s="26" t="s">
        <v>30</v>
      </c>
      <c r="M122" s="26" t="s">
        <v>423</v>
      </c>
      <c r="N122" s="27" t="s">
        <v>427</v>
      </c>
      <c r="O122" s="28">
        <v>45983</v>
      </c>
      <c r="P122" s="26">
        <v>300</v>
      </c>
      <c r="Q122" s="29" t="s">
        <v>31</v>
      </c>
      <c r="R122" s="30">
        <v>5.0999999999999996</v>
      </c>
      <c r="S122" s="29" t="str">
        <f t="shared" si="14"/>
        <v>-</v>
      </c>
      <c r="T122" s="30">
        <f t="shared" si="15"/>
        <v>1530</v>
      </c>
      <c r="U122" s="34">
        <v>46146</v>
      </c>
      <c r="V122" s="34" t="s">
        <v>31</v>
      </c>
      <c r="W122" s="33"/>
      <c r="X122" s="36" t="s">
        <v>40</v>
      </c>
      <c r="Y122" s="33" t="s">
        <v>635</v>
      </c>
      <c r="Z122" s="33" t="s">
        <v>632</v>
      </c>
      <c r="AA122" s="33" t="s">
        <v>636</v>
      </c>
      <c r="AB122" s="33" t="s">
        <v>628</v>
      </c>
    </row>
    <row r="123" spans="1:28" ht="24">
      <c r="A123" s="10" t="str">
        <f>IF('FY_25-26'!$D123="","",IF(OR('FY_25-26'!$D123="BOOHOO LADIES",'FY_25-26'!$D123="PLT",'FY_25-26'!$D123="KM"),"BUSINESS UNIT 1 - KIRAN","BUSINESS UNIT 2 - SHIFALI"))</f>
        <v>BUSINESS UNIT 1 - KIRAN</v>
      </c>
      <c r="B123" s="26">
        <f>IF('FY_25-26'!$C123&lt;&gt;"",ROW()-ROW($B$2),"")</f>
        <v>121</v>
      </c>
      <c r="C123" s="26" t="s">
        <v>358</v>
      </c>
      <c r="D123" s="26" t="s">
        <v>71</v>
      </c>
      <c r="E123" s="27" t="s">
        <v>385</v>
      </c>
      <c r="F123" s="26" t="s">
        <v>26</v>
      </c>
      <c r="G123" s="26" t="s">
        <v>27</v>
      </c>
      <c r="H123" s="26" t="s">
        <v>428</v>
      </c>
      <c r="I123" s="26" t="s">
        <v>36</v>
      </c>
      <c r="J123" s="26" t="s">
        <v>29</v>
      </c>
      <c r="K123" s="26">
        <v>70024032</v>
      </c>
      <c r="L123" s="26" t="s">
        <v>30</v>
      </c>
      <c r="M123" s="26" t="s">
        <v>429</v>
      </c>
      <c r="N123" s="27" t="s">
        <v>430</v>
      </c>
      <c r="O123" s="28">
        <v>45983</v>
      </c>
      <c r="P123" s="26">
        <v>301</v>
      </c>
      <c r="Q123" s="29" t="s">
        <v>31</v>
      </c>
      <c r="R123" s="30">
        <v>3.2</v>
      </c>
      <c r="S123" s="29" t="str">
        <f t="shared" si="14"/>
        <v>-</v>
      </c>
      <c r="T123" s="30">
        <f t="shared" si="15"/>
        <v>963.2</v>
      </c>
      <c r="U123" s="34">
        <v>46146</v>
      </c>
      <c r="V123" s="34" t="s">
        <v>31</v>
      </c>
      <c r="W123" s="33"/>
      <c r="X123" s="36" t="s">
        <v>40</v>
      </c>
      <c r="Y123" s="33" t="s">
        <v>635</v>
      </c>
      <c r="Z123" s="33" t="s">
        <v>632</v>
      </c>
      <c r="AA123" s="33" t="s">
        <v>636</v>
      </c>
      <c r="AB123" s="33" t="s">
        <v>628</v>
      </c>
    </row>
    <row r="124" spans="1:28" ht="24">
      <c r="A124" s="12" t="str">
        <f>IF('FY_25-26'!$D124="","",IF(OR('FY_25-26'!$D124="BOOHOO LADIES",'FY_25-26'!$D124="PLT",'FY_25-26'!$D124="KM"),"BUSINESS UNIT 1 - KIRAN","BUSINESS UNIT 2 - SHIFALI"))</f>
        <v>BUSINESS UNIT 1 - KIRAN</v>
      </c>
      <c r="B124" s="26">
        <f>IF('FY_25-26'!$C124&lt;&gt;"",ROW()-ROW($B$2),"")</f>
        <v>122</v>
      </c>
      <c r="C124" s="26" t="s">
        <v>358</v>
      </c>
      <c r="D124" s="26" t="s">
        <v>71</v>
      </c>
      <c r="E124" s="27" t="s">
        <v>385</v>
      </c>
      <c r="F124" s="26" t="s">
        <v>26</v>
      </c>
      <c r="G124" s="26" t="s">
        <v>27</v>
      </c>
      <c r="H124" s="26" t="s">
        <v>431</v>
      </c>
      <c r="I124" s="26" t="s">
        <v>36</v>
      </c>
      <c r="J124" s="26" t="s">
        <v>29</v>
      </c>
      <c r="K124" s="26">
        <v>70024032</v>
      </c>
      <c r="L124" s="26" t="s">
        <v>30</v>
      </c>
      <c r="M124" s="26" t="s">
        <v>429</v>
      </c>
      <c r="N124" s="27" t="s">
        <v>432</v>
      </c>
      <c r="O124" s="28">
        <v>45983</v>
      </c>
      <c r="P124" s="26">
        <v>300</v>
      </c>
      <c r="Q124" s="29" t="s">
        <v>31</v>
      </c>
      <c r="R124" s="30">
        <v>5.0999999999999996</v>
      </c>
      <c r="S124" s="29" t="str">
        <f t="shared" si="14"/>
        <v>-</v>
      </c>
      <c r="T124" s="30">
        <f t="shared" si="15"/>
        <v>1530</v>
      </c>
      <c r="U124" s="34">
        <v>46146</v>
      </c>
      <c r="V124" s="34" t="s">
        <v>31</v>
      </c>
      <c r="W124" s="33"/>
      <c r="X124" s="36" t="s">
        <v>40</v>
      </c>
      <c r="Y124" s="33" t="s">
        <v>635</v>
      </c>
      <c r="Z124" s="33" t="s">
        <v>632</v>
      </c>
      <c r="AA124" s="33" t="s">
        <v>636</v>
      </c>
      <c r="AB124" s="33" t="s">
        <v>628</v>
      </c>
    </row>
    <row r="125" spans="1:28" ht="30">
      <c r="A125" s="12" t="str">
        <f>IF('FY_25-26'!$D125="","",IF(OR('FY_25-26'!$D125="BOOHOO LADIES",'FY_25-26'!$D125="PLT",'FY_25-26'!$D125="KM"),"BUSINESS UNIT 1 - KIRAN","BUSINESS UNIT 2 - SHIFALI"))</f>
        <v>BUSINESS UNIT 1 - KIRAN</v>
      </c>
      <c r="B125" s="26">
        <f>IF('FY_25-26'!$C125&lt;&gt;"",ROW()-ROW($B$2),"")</f>
        <v>123</v>
      </c>
      <c r="C125" s="26" t="s">
        <v>358</v>
      </c>
      <c r="D125" s="26" t="s">
        <v>71</v>
      </c>
      <c r="E125" s="27" t="s">
        <v>385</v>
      </c>
      <c r="F125" s="26" t="s">
        <v>26</v>
      </c>
      <c r="G125" s="26" t="s">
        <v>27</v>
      </c>
      <c r="H125" s="26" t="s">
        <v>433</v>
      </c>
      <c r="I125" s="26" t="s">
        <v>36</v>
      </c>
      <c r="J125" s="26" t="s">
        <v>393</v>
      </c>
      <c r="K125" s="26">
        <v>70024033</v>
      </c>
      <c r="L125" s="26" t="s">
        <v>30</v>
      </c>
      <c r="M125" s="26" t="s">
        <v>434</v>
      </c>
      <c r="N125" s="27" t="s">
        <v>435</v>
      </c>
      <c r="O125" s="28">
        <v>45983</v>
      </c>
      <c r="P125" s="26">
        <v>299</v>
      </c>
      <c r="Q125" s="29" t="s">
        <v>31</v>
      </c>
      <c r="R125" s="30">
        <v>3.3</v>
      </c>
      <c r="S125" s="29" t="str">
        <f t="shared" ref="S125:S135" si="16">IF($Q125="","",IF($Q125="-","-",$P125*$Q125))</f>
        <v>-</v>
      </c>
      <c r="T125" s="30">
        <f t="shared" ref="T125:T135" si="17">IF($R125="","",IF($R125="-","-",$P125*$R125))</f>
        <v>986.69999999999993</v>
      </c>
      <c r="U125" s="34">
        <v>46146</v>
      </c>
      <c r="V125" s="34" t="s">
        <v>31</v>
      </c>
      <c r="W125" s="33"/>
      <c r="X125" s="36" t="s">
        <v>40</v>
      </c>
      <c r="Y125" s="33" t="s">
        <v>635</v>
      </c>
      <c r="Z125" s="33" t="s">
        <v>632</v>
      </c>
      <c r="AA125" s="33" t="s">
        <v>636</v>
      </c>
      <c r="AB125" s="33" t="s">
        <v>628</v>
      </c>
    </row>
    <row r="126" spans="1:28" ht="24">
      <c r="A126" s="12" t="str">
        <f>IF('FY_25-26'!$D126="","",IF(OR('FY_25-26'!$D126="BOOHOO LADIES",'FY_25-26'!$D126="PLT",'FY_25-26'!$D126="KM"),"BUSINESS UNIT 1 - KIRAN","BUSINESS UNIT 2 - SHIFALI"))</f>
        <v>BUSINESS UNIT 1 - KIRAN</v>
      </c>
      <c r="B126" s="26">
        <f>IF('FY_25-26'!$C126&lt;&gt;"",ROW()-ROW($B$2),"")</f>
        <v>124</v>
      </c>
      <c r="C126" s="26" t="s">
        <v>358</v>
      </c>
      <c r="D126" s="26" t="s">
        <v>71</v>
      </c>
      <c r="E126" s="27" t="s">
        <v>385</v>
      </c>
      <c r="F126" s="26" t="s">
        <v>26</v>
      </c>
      <c r="G126" s="26" t="s">
        <v>27</v>
      </c>
      <c r="H126" s="26" t="s">
        <v>436</v>
      </c>
      <c r="I126" s="26" t="s">
        <v>36</v>
      </c>
      <c r="J126" s="26" t="s">
        <v>393</v>
      </c>
      <c r="K126" s="26">
        <v>70024033</v>
      </c>
      <c r="L126" s="26" t="s">
        <v>30</v>
      </c>
      <c r="M126" s="26" t="s">
        <v>434</v>
      </c>
      <c r="N126" s="27" t="s">
        <v>437</v>
      </c>
      <c r="O126" s="28">
        <v>45983</v>
      </c>
      <c r="P126" s="26">
        <v>300</v>
      </c>
      <c r="Q126" s="29" t="s">
        <v>31</v>
      </c>
      <c r="R126" s="30">
        <v>5.2</v>
      </c>
      <c r="S126" s="29" t="str">
        <f t="shared" si="16"/>
        <v>-</v>
      </c>
      <c r="T126" s="30">
        <f t="shared" si="17"/>
        <v>1560</v>
      </c>
      <c r="U126" s="34">
        <v>46146</v>
      </c>
      <c r="V126" s="34" t="s">
        <v>31</v>
      </c>
      <c r="W126" s="33"/>
      <c r="X126" s="36" t="s">
        <v>40</v>
      </c>
      <c r="Y126" s="33" t="s">
        <v>635</v>
      </c>
      <c r="Z126" s="33" t="s">
        <v>632</v>
      </c>
      <c r="AA126" s="33" t="s">
        <v>636</v>
      </c>
      <c r="AB126" s="33" t="s">
        <v>628</v>
      </c>
    </row>
    <row r="127" spans="1:28" ht="24">
      <c r="A127" s="12" t="str">
        <f>IF('FY_25-26'!$D127="","",IF(OR('FY_25-26'!$D127="BOOHOO LADIES",'FY_25-26'!$D127="PLT",'FY_25-26'!$D127="KM"),"BUSINESS UNIT 1 - KIRAN","BUSINESS UNIT 2 - SHIFALI"))</f>
        <v>BUSINESS UNIT 1 - KIRAN</v>
      </c>
      <c r="B127" s="26">
        <f>IF('FY_25-26'!$C127&lt;&gt;"",ROW()-ROW($B$2),"")</f>
        <v>125</v>
      </c>
      <c r="C127" s="26" t="s">
        <v>358</v>
      </c>
      <c r="D127" s="26" t="s">
        <v>71</v>
      </c>
      <c r="E127" s="27" t="s">
        <v>385</v>
      </c>
      <c r="F127" s="26" t="s">
        <v>26</v>
      </c>
      <c r="G127" s="26" t="s">
        <v>27</v>
      </c>
      <c r="H127" s="26" t="s">
        <v>438</v>
      </c>
      <c r="I127" s="26" t="s">
        <v>36</v>
      </c>
      <c r="J127" s="26" t="s">
        <v>128</v>
      </c>
      <c r="K127" s="26">
        <v>70024034</v>
      </c>
      <c r="L127" s="26" t="s">
        <v>30</v>
      </c>
      <c r="M127" s="26" t="s">
        <v>439</v>
      </c>
      <c r="N127" s="27" t="s">
        <v>440</v>
      </c>
      <c r="O127" s="28">
        <v>45983</v>
      </c>
      <c r="P127" s="26">
        <v>252</v>
      </c>
      <c r="Q127" s="29" t="s">
        <v>31</v>
      </c>
      <c r="R127" s="30">
        <v>3.3</v>
      </c>
      <c r="S127" s="29" t="str">
        <f t="shared" si="16"/>
        <v>-</v>
      </c>
      <c r="T127" s="30">
        <f t="shared" si="17"/>
        <v>831.59999999999991</v>
      </c>
      <c r="U127" s="34">
        <v>46146</v>
      </c>
      <c r="V127" s="34" t="s">
        <v>31</v>
      </c>
      <c r="W127" s="33"/>
      <c r="X127" s="36" t="s">
        <v>40</v>
      </c>
      <c r="Y127" s="33" t="s">
        <v>635</v>
      </c>
      <c r="Z127" s="33" t="s">
        <v>632</v>
      </c>
      <c r="AA127" s="33" t="s">
        <v>636</v>
      </c>
      <c r="AB127" s="33" t="s">
        <v>628</v>
      </c>
    </row>
    <row r="128" spans="1:28" ht="24">
      <c r="A128" s="12" t="str">
        <f>IF('FY_25-26'!$D128="","",IF(OR('FY_25-26'!$D128="BOOHOO LADIES",'FY_25-26'!$D128="PLT",'FY_25-26'!$D128="KM"),"BUSINESS UNIT 1 - KIRAN","BUSINESS UNIT 2 - SHIFALI"))</f>
        <v>BUSINESS UNIT 1 - KIRAN</v>
      </c>
      <c r="B128" s="26">
        <f>IF('FY_25-26'!$C128&lt;&gt;"",ROW()-ROW($B$2),"")</f>
        <v>126</v>
      </c>
      <c r="C128" s="26" t="s">
        <v>358</v>
      </c>
      <c r="D128" s="26" t="s">
        <v>71</v>
      </c>
      <c r="E128" s="27" t="s">
        <v>385</v>
      </c>
      <c r="F128" s="26" t="s">
        <v>26</v>
      </c>
      <c r="G128" s="26" t="s">
        <v>27</v>
      </c>
      <c r="H128" s="26" t="s">
        <v>441</v>
      </c>
      <c r="I128" s="26" t="s">
        <v>36</v>
      </c>
      <c r="J128" s="26" t="s">
        <v>128</v>
      </c>
      <c r="K128" s="26">
        <v>70024034</v>
      </c>
      <c r="L128" s="26" t="s">
        <v>30</v>
      </c>
      <c r="M128" s="26" t="s">
        <v>439</v>
      </c>
      <c r="N128" s="27" t="s">
        <v>442</v>
      </c>
      <c r="O128" s="28">
        <v>45983</v>
      </c>
      <c r="P128" s="26">
        <v>251</v>
      </c>
      <c r="Q128" s="29" t="s">
        <v>31</v>
      </c>
      <c r="R128" s="30">
        <v>4.6500000000000004</v>
      </c>
      <c r="S128" s="29" t="str">
        <f t="shared" si="16"/>
        <v>-</v>
      </c>
      <c r="T128" s="30">
        <f t="shared" si="17"/>
        <v>1167.1500000000001</v>
      </c>
      <c r="U128" s="34">
        <v>46146</v>
      </c>
      <c r="V128" s="34" t="s">
        <v>31</v>
      </c>
      <c r="W128" s="33"/>
      <c r="X128" s="36" t="s">
        <v>40</v>
      </c>
      <c r="Y128" s="33" t="s">
        <v>635</v>
      </c>
      <c r="Z128" s="33" t="s">
        <v>632</v>
      </c>
      <c r="AA128" s="33" t="s">
        <v>636</v>
      </c>
      <c r="AB128" s="33" t="s">
        <v>628</v>
      </c>
    </row>
    <row r="129" spans="1:28" ht="24">
      <c r="A129" s="10" t="str">
        <f>IF('FY_25-26'!$D129="","",IF(OR('FY_25-26'!$D129="BOOHOO LADIES",'FY_25-26'!$D129="PLT",'FY_25-26'!$D129="KM"),"BUSINESS UNIT 1 - KIRAN","BUSINESS UNIT 2 - SHIFALI"))</f>
        <v>BUSINESS UNIT 1 - KIRAN</v>
      </c>
      <c r="B129" s="26">
        <f>IF('FY_25-26'!$C129&lt;&gt;"",ROW()-ROW($B$2),"")</f>
        <v>127</v>
      </c>
      <c r="C129" s="26" t="s">
        <v>358</v>
      </c>
      <c r="D129" s="26" t="s">
        <v>71</v>
      </c>
      <c r="E129" s="27" t="s">
        <v>385</v>
      </c>
      <c r="F129" s="26" t="s">
        <v>26</v>
      </c>
      <c r="G129" s="26" t="s">
        <v>27</v>
      </c>
      <c r="H129" s="26" t="s">
        <v>443</v>
      </c>
      <c r="I129" s="26" t="s">
        <v>36</v>
      </c>
      <c r="J129" s="26" t="s">
        <v>69</v>
      </c>
      <c r="K129" s="26">
        <v>70024035</v>
      </c>
      <c r="L129" s="26" t="s">
        <v>30</v>
      </c>
      <c r="M129" s="26" t="s">
        <v>424</v>
      </c>
      <c r="N129" s="27" t="s">
        <v>444</v>
      </c>
      <c r="O129" s="28">
        <v>45983</v>
      </c>
      <c r="P129" s="26">
        <v>399</v>
      </c>
      <c r="Q129" s="29" t="s">
        <v>31</v>
      </c>
      <c r="R129" s="30">
        <v>3.2</v>
      </c>
      <c r="S129" s="29" t="str">
        <f t="shared" si="16"/>
        <v>-</v>
      </c>
      <c r="T129" s="30">
        <f t="shared" si="17"/>
        <v>1276.8000000000002</v>
      </c>
      <c r="U129" s="34">
        <v>46146</v>
      </c>
      <c r="V129" s="34" t="s">
        <v>31</v>
      </c>
      <c r="W129" s="33"/>
      <c r="X129" s="36" t="s">
        <v>40</v>
      </c>
      <c r="Y129" s="33" t="s">
        <v>635</v>
      </c>
      <c r="Z129" s="33" t="s">
        <v>632</v>
      </c>
      <c r="AA129" s="33" t="s">
        <v>636</v>
      </c>
      <c r="AB129" s="33" t="s">
        <v>628</v>
      </c>
    </row>
    <row r="130" spans="1:28" ht="24">
      <c r="A130" s="12" t="str">
        <f>IF('FY_25-26'!$D130="","",IF(OR('FY_25-26'!$D130="BOOHOO LADIES",'FY_25-26'!$D130="PLT",'FY_25-26'!$D130="KM"),"BUSINESS UNIT 1 - KIRAN","BUSINESS UNIT 2 - SHIFALI"))</f>
        <v>BUSINESS UNIT 1 - KIRAN</v>
      </c>
      <c r="B130" s="26">
        <f>IF('FY_25-26'!$C130&lt;&gt;"",ROW()-ROW($B$2),"")</f>
        <v>128</v>
      </c>
      <c r="C130" s="26" t="s">
        <v>358</v>
      </c>
      <c r="D130" s="26" t="s">
        <v>71</v>
      </c>
      <c r="E130" s="27" t="s">
        <v>385</v>
      </c>
      <c r="F130" s="26" t="s">
        <v>26</v>
      </c>
      <c r="G130" s="26" t="s">
        <v>27</v>
      </c>
      <c r="H130" s="26" t="s">
        <v>445</v>
      </c>
      <c r="I130" s="26" t="s">
        <v>36</v>
      </c>
      <c r="J130" s="26" t="s">
        <v>69</v>
      </c>
      <c r="K130" s="26">
        <v>70024035</v>
      </c>
      <c r="L130" s="26" t="s">
        <v>30</v>
      </c>
      <c r="M130" s="26" t="s">
        <v>424</v>
      </c>
      <c r="N130" s="27" t="s">
        <v>446</v>
      </c>
      <c r="O130" s="28">
        <v>45983</v>
      </c>
      <c r="P130" s="26">
        <v>400</v>
      </c>
      <c r="Q130" s="29" t="s">
        <v>31</v>
      </c>
      <c r="R130" s="30">
        <v>3.2</v>
      </c>
      <c r="S130" s="29" t="str">
        <f t="shared" si="16"/>
        <v>-</v>
      </c>
      <c r="T130" s="30">
        <f t="shared" si="17"/>
        <v>1280</v>
      </c>
      <c r="U130" s="34">
        <v>46146</v>
      </c>
      <c r="V130" s="34" t="s">
        <v>31</v>
      </c>
      <c r="W130" s="33"/>
      <c r="X130" s="36" t="s">
        <v>40</v>
      </c>
      <c r="Y130" s="33" t="s">
        <v>635</v>
      </c>
      <c r="Z130" s="33" t="s">
        <v>632</v>
      </c>
      <c r="AA130" s="33" t="s">
        <v>636</v>
      </c>
      <c r="AB130" s="33" t="s">
        <v>628</v>
      </c>
    </row>
    <row r="131" spans="1:28" ht="24">
      <c r="A131" s="12" t="str">
        <f>IF('FY_25-26'!$D131="","",IF(OR('FY_25-26'!$D131="BOOHOO LADIES",'FY_25-26'!$D131="PLT",'FY_25-26'!$D131="KM"),"BUSINESS UNIT 1 - KIRAN","BUSINESS UNIT 2 - SHIFALI"))</f>
        <v>BUSINESS UNIT 1 - KIRAN</v>
      </c>
      <c r="B131" s="26">
        <f>IF('FY_25-26'!$C131&lt;&gt;"",ROW()-ROW($B$2),"")</f>
        <v>129</v>
      </c>
      <c r="C131" s="26" t="s">
        <v>358</v>
      </c>
      <c r="D131" s="26" t="s">
        <v>71</v>
      </c>
      <c r="E131" s="27" t="s">
        <v>385</v>
      </c>
      <c r="F131" s="26" t="s">
        <v>26</v>
      </c>
      <c r="G131" s="26" t="s">
        <v>27</v>
      </c>
      <c r="H131" s="26" t="s">
        <v>447</v>
      </c>
      <c r="I131" s="26" t="s">
        <v>36</v>
      </c>
      <c r="J131" s="26" t="s">
        <v>298</v>
      </c>
      <c r="K131" s="26">
        <v>70024036</v>
      </c>
      <c r="L131" s="26" t="s">
        <v>30</v>
      </c>
      <c r="M131" s="26" t="s">
        <v>448</v>
      </c>
      <c r="N131" s="27" t="s">
        <v>449</v>
      </c>
      <c r="O131" s="28">
        <v>45983</v>
      </c>
      <c r="P131" s="26">
        <v>252</v>
      </c>
      <c r="Q131" s="29" t="s">
        <v>31</v>
      </c>
      <c r="R131" s="30">
        <v>3.3</v>
      </c>
      <c r="S131" s="29" t="str">
        <f t="shared" si="16"/>
        <v>-</v>
      </c>
      <c r="T131" s="30">
        <f t="shared" si="17"/>
        <v>831.59999999999991</v>
      </c>
      <c r="U131" s="34">
        <v>46146</v>
      </c>
      <c r="V131" s="34" t="s">
        <v>31</v>
      </c>
      <c r="W131" s="33"/>
      <c r="X131" s="36" t="s">
        <v>40</v>
      </c>
      <c r="Y131" s="33" t="s">
        <v>635</v>
      </c>
      <c r="Z131" s="33" t="s">
        <v>632</v>
      </c>
      <c r="AA131" s="33" t="s">
        <v>636</v>
      </c>
      <c r="AB131" s="33" t="s">
        <v>628</v>
      </c>
    </row>
    <row r="132" spans="1:28" ht="24">
      <c r="A132" s="12" t="str">
        <f>IF('FY_25-26'!$D132="","",IF(OR('FY_25-26'!$D132="BOOHOO LADIES",'FY_25-26'!$D132="PLT",'FY_25-26'!$D132="KM"),"BUSINESS UNIT 1 - KIRAN","BUSINESS UNIT 2 - SHIFALI"))</f>
        <v>BUSINESS UNIT 1 - KIRAN</v>
      </c>
      <c r="B132" s="26">
        <f>IF('FY_25-26'!$C132&lt;&gt;"",ROW()-ROW($B$2),"")</f>
        <v>130</v>
      </c>
      <c r="C132" s="26" t="s">
        <v>358</v>
      </c>
      <c r="D132" s="26" t="s">
        <v>71</v>
      </c>
      <c r="E132" s="27" t="s">
        <v>385</v>
      </c>
      <c r="F132" s="26" t="s">
        <v>26</v>
      </c>
      <c r="G132" s="26" t="s">
        <v>27</v>
      </c>
      <c r="H132" s="26" t="s">
        <v>450</v>
      </c>
      <c r="I132" s="26" t="s">
        <v>36</v>
      </c>
      <c r="J132" s="26" t="s">
        <v>298</v>
      </c>
      <c r="K132" s="26">
        <v>70024036</v>
      </c>
      <c r="L132" s="26" t="s">
        <v>30</v>
      </c>
      <c r="M132" s="26" t="s">
        <v>448</v>
      </c>
      <c r="N132" s="27" t="s">
        <v>451</v>
      </c>
      <c r="O132" s="28">
        <v>45983</v>
      </c>
      <c r="P132" s="26">
        <v>251</v>
      </c>
      <c r="Q132" s="29" t="s">
        <v>31</v>
      </c>
      <c r="R132" s="30">
        <v>4.6500000000000004</v>
      </c>
      <c r="S132" s="29" t="str">
        <f t="shared" si="16"/>
        <v>-</v>
      </c>
      <c r="T132" s="30">
        <f t="shared" si="17"/>
        <v>1167.1500000000001</v>
      </c>
      <c r="U132" s="34">
        <v>46146</v>
      </c>
      <c r="V132" s="34" t="s">
        <v>31</v>
      </c>
      <c r="W132" s="33"/>
      <c r="X132" s="36" t="s">
        <v>40</v>
      </c>
      <c r="Y132" s="33" t="s">
        <v>635</v>
      </c>
      <c r="Z132" s="33" t="s">
        <v>632</v>
      </c>
      <c r="AA132" s="33" t="s">
        <v>636</v>
      </c>
      <c r="AB132" s="33" t="s">
        <v>628</v>
      </c>
    </row>
    <row r="133" spans="1:28" ht="30">
      <c r="A133" s="12" t="str">
        <f>IF('FY_25-26'!$D133="","",IF(OR('FY_25-26'!$D133="BOOHOO LADIES",'FY_25-26'!$D133="PLT",'FY_25-26'!$D133="KM"),"BUSINESS UNIT 1 - KIRAN","BUSINESS UNIT 2 - SHIFALI"))</f>
        <v>BUSINESS UNIT 1 - KIRAN</v>
      </c>
      <c r="B133" s="26">
        <f>IF('FY_25-26'!$C133&lt;&gt;"",ROW()-ROW($B$2),"")</f>
        <v>131</v>
      </c>
      <c r="C133" s="26" t="s">
        <v>358</v>
      </c>
      <c r="D133" s="26" t="s">
        <v>71</v>
      </c>
      <c r="E133" s="27" t="s">
        <v>385</v>
      </c>
      <c r="F133" s="26" t="s">
        <v>26</v>
      </c>
      <c r="G133" s="26" t="s">
        <v>27</v>
      </c>
      <c r="H133" s="26" t="s">
        <v>452</v>
      </c>
      <c r="I133" s="26" t="s">
        <v>36</v>
      </c>
      <c r="J133" s="26" t="s">
        <v>360</v>
      </c>
      <c r="K133" s="26">
        <v>70024037</v>
      </c>
      <c r="L133" s="26" t="s">
        <v>30</v>
      </c>
      <c r="M133" s="26" t="s">
        <v>425</v>
      </c>
      <c r="N133" s="27" t="s">
        <v>453</v>
      </c>
      <c r="O133" s="28">
        <v>45983</v>
      </c>
      <c r="P133" s="26">
        <v>299</v>
      </c>
      <c r="Q133" s="29" t="s">
        <v>31</v>
      </c>
      <c r="R133" s="30">
        <v>3.3</v>
      </c>
      <c r="S133" s="29" t="str">
        <f t="shared" si="16"/>
        <v>-</v>
      </c>
      <c r="T133" s="30">
        <f t="shared" si="17"/>
        <v>986.69999999999993</v>
      </c>
      <c r="U133" s="34">
        <v>46146</v>
      </c>
      <c r="V133" s="34" t="s">
        <v>31</v>
      </c>
      <c r="W133" s="33"/>
      <c r="X133" s="36" t="s">
        <v>40</v>
      </c>
      <c r="Y133" s="33" t="s">
        <v>635</v>
      </c>
      <c r="Z133" s="33" t="s">
        <v>632</v>
      </c>
      <c r="AA133" s="33" t="s">
        <v>636</v>
      </c>
      <c r="AB133" s="33" t="s">
        <v>628</v>
      </c>
    </row>
    <row r="134" spans="1:28" ht="24">
      <c r="A134" s="12" t="str">
        <f>IF('FY_25-26'!$D134="","",IF(OR('FY_25-26'!$D134="BOOHOO LADIES",'FY_25-26'!$D134="PLT",'FY_25-26'!$D134="KM"),"BUSINESS UNIT 1 - KIRAN","BUSINESS UNIT 2 - SHIFALI"))</f>
        <v>BUSINESS UNIT 1 - KIRAN</v>
      </c>
      <c r="B134" s="26">
        <f>IF('FY_25-26'!$C134&lt;&gt;"",ROW()-ROW($B$2),"")</f>
        <v>132</v>
      </c>
      <c r="C134" s="26" t="s">
        <v>358</v>
      </c>
      <c r="D134" s="26" t="s">
        <v>71</v>
      </c>
      <c r="E134" s="27" t="s">
        <v>385</v>
      </c>
      <c r="F134" s="26" t="s">
        <v>26</v>
      </c>
      <c r="G134" s="26" t="s">
        <v>27</v>
      </c>
      <c r="H134" s="26" t="s">
        <v>454</v>
      </c>
      <c r="I134" s="26" t="s">
        <v>36</v>
      </c>
      <c r="J134" s="26" t="s">
        <v>360</v>
      </c>
      <c r="K134" s="26">
        <v>70024037</v>
      </c>
      <c r="L134" s="26" t="s">
        <v>30</v>
      </c>
      <c r="M134" s="26" t="s">
        <v>425</v>
      </c>
      <c r="N134" s="27" t="s">
        <v>455</v>
      </c>
      <c r="O134" s="28">
        <v>45983</v>
      </c>
      <c r="P134" s="26">
        <v>300</v>
      </c>
      <c r="Q134" s="29" t="s">
        <v>31</v>
      </c>
      <c r="R134" s="30">
        <v>5.2</v>
      </c>
      <c r="S134" s="29" t="str">
        <f t="shared" si="16"/>
        <v>-</v>
      </c>
      <c r="T134" s="30">
        <f t="shared" si="17"/>
        <v>1560</v>
      </c>
      <c r="U134" s="34">
        <v>46146</v>
      </c>
      <c r="V134" s="34" t="s">
        <v>31</v>
      </c>
      <c r="W134" s="33"/>
      <c r="X134" s="36" t="s">
        <v>40</v>
      </c>
      <c r="Y134" s="33" t="s">
        <v>635</v>
      </c>
      <c r="Z134" s="33" t="s">
        <v>632</v>
      </c>
      <c r="AA134" s="33" t="s">
        <v>636</v>
      </c>
      <c r="AB134" s="33" t="s">
        <v>628</v>
      </c>
    </row>
    <row r="135" spans="1:28" ht="24">
      <c r="A135" s="10" t="str">
        <f>IF('FY_25-26'!$D135="","",IF(OR('FY_25-26'!$D135="BOOHOO LADIES",'FY_25-26'!$D135="PLT",'FY_25-26'!$D135="KM"),"BUSINESS UNIT 1 - KIRAN","BUSINESS UNIT 2 - SHIFALI"))</f>
        <v>BUSINESS UNIT 1 - KIRAN</v>
      </c>
      <c r="B135" s="26">
        <f>IF('FY_25-26'!$C135&lt;&gt;"",ROW()-ROW($B$2),"")</f>
        <v>133</v>
      </c>
      <c r="C135" s="26" t="s">
        <v>358</v>
      </c>
      <c r="D135" s="26" t="s">
        <v>71</v>
      </c>
      <c r="E135" s="27" t="s">
        <v>385</v>
      </c>
      <c r="F135" s="26" t="s">
        <v>26</v>
      </c>
      <c r="G135" s="26" t="s">
        <v>27</v>
      </c>
      <c r="H135" s="26" t="s">
        <v>456</v>
      </c>
      <c r="I135" s="26" t="s">
        <v>36</v>
      </c>
      <c r="J135" s="26" t="s">
        <v>298</v>
      </c>
      <c r="K135" s="26">
        <v>70024038</v>
      </c>
      <c r="L135" s="26" t="s">
        <v>30</v>
      </c>
      <c r="M135" s="26" t="s">
        <v>457</v>
      </c>
      <c r="N135" s="27" t="s">
        <v>458</v>
      </c>
      <c r="O135" s="28">
        <v>45983</v>
      </c>
      <c r="P135" s="26">
        <v>349</v>
      </c>
      <c r="Q135" s="29" t="s">
        <v>31</v>
      </c>
      <c r="R135" s="30">
        <v>4.2</v>
      </c>
      <c r="S135" s="29" t="str">
        <f t="shared" si="16"/>
        <v>-</v>
      </c>
      <c r="T135" s="30">
        <f t="shared" si="17"/>
        <v>1465.8</v>
      </c>
      <c r="U135" s="34">
        <v>46146</v>
      </c>
      <c r="V135" s="34" t="s">
        <v>31</v>
      </c>
      <c r="W135" s="33"/>
      <c r="X135" s="36" t="s">
        <v>40</v>
      </c>
      <c r="Y135" s="33" t="s">
        <v>635</v>
      </c>
      <c r="Z135" s="33" t="s">
        <v>632</v>
      </c>
      <c r="AA135" s="33" t="s">
        <v>636</v>
      </c>
      <c r="AB135" s="33" t="s">
        <v>628</v>
      </c>
    </row>
    <row r="136" spans="1:28" ht="24">
      <c r="A136" s="12" t="str">
        <f>IF('FY_25-26'!$D136="","",IF(OR('FY_25-26'!$D136="BOOHOO LADIES",'FY_25-26'!$D136="PLT",'FY_25-26'!$D136="KM"),"BUSINESS UNIT 1 - KIRAN","BUSINESS UNIT 2 - SHIFALI"))</f>
        <v>BUSINESS UNIT 1 - KIRAN</v>
      </c>
      <c r="B136" s="26">
        <f>IF('FY_25-26'!$C136&lt;&gt;"",ROW()-ROW($B$2),"")</f>
        <v>134</v>
      </c>
      <c r="C136" s="26" t="s">
        <v>460</v>
      </c>
      <c r="D136" s="26" t="s">
        <v>150</v>
      </c>
      <c r="E136" s="27" t="s">
        <v>422</v>
      </c>
      <c r="F136" s="26" t="s">
        <v>26</v>
      </c>
      <c r="G136" s="26" t="s">
        <v>27</v>
      </c>
      <c r="H136" s="26" t="s">
        <v>462</v>
      </c>
      <c r="I136" s="26" t="s">
        <v>28</v>
      </c>
      <c r="J136" s="26" t="s">
        <v>29</v>
      </c>
      <c r="K136" s="26">
        <v>3410242</v>
      </c>
      <c r="L136" s="26" t="s">
        <v>30</v>
      </c>
      <c r="M136" s="26" t="s">
        <v>463</v>
      </c>
      <c r="N136" s="27" t="s">
        <v>464</v>
      </c>
      <c r="O136" s="28">
        <v>45988</v>
      </c>
      <c r="P136" s="26">
        <v>405</v>
      </c>
      <c r="Q136" s="29" t="s">
        <v>31</v>
      </c>
      <c r="R136" s="30">
        <v>4.8</v>
      </c>
      <c r="S136" s="29" t="str">
        <f t="shared" ref="S136:S149" si="18">IF($Q136="","",IF($Q136="-","-",$P136*$Q136))</f>
        <v>-</v>
      </c>
      <c r="T136" s="30">
        <f t="shared" ref="T136:T149" si="19">IF($R136="","",IF($R136="-","-",$P136*$R136))</f>
        <v>1944</v>
      </c>
      <c r="U136" s="34">
        <v>46020</v>
      </c>
      <c r="V136" s="34">
        <v>46034</v>
      </c>
      <c r="W136" s="33"/>
      <c r="X136" s="36" t="s">
        <v>32</v>
      </c>
      <c r="Y136" s="33" t="s">
        <v>634</v>
      </c>
      <c r="Z136" s="33" t="s">
        <v>632</v>
      </c>
      <c r="AA136" s="33" t="s">
        <v>636</v>
      </c>
      <c r="AB136" s="33" t="s">
        <v>628</v>
      </c>
    </row>
    <row r="137" spans="1:28" ht="24">
      <c r="A137" s="12" t="str">
        <f>IF('FY_25-26'!$D137="","",IF(OR('FY_25-26'!$D137="BOOHOO LADIES",'FY_25-26'!$D137="PLT",'FY_25-26'!$D137="KM"),"BUSINESS UNIT 1 - KIRAN","BUSINESS UNIT 2 - SHIFALI"))</f>
        <v>BUSINESS UNIT 1 - KIRAN</v>
      </c>
      <c r="B137" s="26">
        <f>IF('FY_25-26'!$C137&lt;&gt;"",ROW()-ROW($B$2),"")</f>
        <v>135</v>
      </c>
      <c r="C137" s="26" t="s">
        <v>460</v>
      </c>
      <c r="D137" s="26" t="s">
        <v>150</v>
      </c>
      <c r="E137" s="27" t="s">
        <v>422</v>
      </c>
      <c r="F137" s="26" t="s">
        <v>26</v>
      </c>
      <c r="G137" s="26" t="s">
        <v>27</v>
      </c>
      <c r="H137" s="26" t="s">
        <v>465</v>
      </c>
      <c r="I137" s="26" t="s">
        <v>28</v>
      </c>
      <c r="J137" s="26" t="s">
        <v>84</v>
      </c>
      <c r="K137" s="26">
        <v>3410230</v>
      </c>
      <c r="L137" s="26" t="s">
        <v>30</v>
      </c>
      <c r="M137" s="26" t="s">
        <v>466</v>
      </c>
      <c r="N137" s="27" t="s">
        <v>467</v>
      </c>
      <c r="O137" s="28">
        <v>45988</v>
      </c>
      <c r="P137" s="26">
        <v>370</v>
      </c>
      <c r="Q137" s="29" t="s">
        <v>31</v>
      </c>
      <c r="R137" s="30">
        <v>4.4000000000000004</v>
      </c>
      <c r="S137" s="29" t="str">
        <f t="shared" si="18"/>
        <v>-</v>
      </c>
      <c r="T137" s="30">
        <f t="shared" si="19"/>
        <v>1628.0000000000002</v>
      </c>
      <c r="U137" s="34">
        <v>46055</v>
      </c>
      <c r="V137" s="34" t="s">
        <v>31</v>
      </c>
      <c r="W137" s="33"/>
      <c r="X137" s="36" t="s">
        <v>32</v>
      </c>
      <c r="Y137" s="33" t="s">
        <v>634</v>
      </c>
      <c r="Z137" s="33" t="s">
        <v>632</v>
      </c>
      <c r="AA137" s="33" t="s">
        <v>636</v>
      </c>
      <c r="AB137" s="33" t="s">
        <v>628</v>
      </c>
    </row>
    <row r="138" spans="1:28" ht="30">
      <c r="A138" s="12" t="str">
        <f>IF('FY_25-26'!$D138="","",IF(OR('FY_25-26'!$D138="BOOHOO LADIES",'FY_25-26'!$D138="PLT",'FY_25-26'!$D138="KM"),"BUSINESS UNIT 1 - KIRAN","BUSINESS UNIT 2 - SHIFALI"))</f>
        <v>BUSINESS UNIT 1 - KIRAN</v>
      </c>
      <c r="B138" s="26">
        <f>IF('FY_25-26'!$C138&lt;&gt;"",ROW()-ROW($B$2),"")</f>
        <v>136</v>
      </c>
      <c r="C138" s="26" t="s">
        <v>460</v>
      </c>
      <c r="D138" s="26" t="s">
        <v>150</v>
      </c>
      <c r="E138" s="27" t="s">
        <v>422</v>
      </c>
      <c r="F138" s="26" t="s">
        <v>26</v>
      </c>
      <c r="G138" s="26" t="s">
        <v>27</v>
      </c>
      <c r="H138" s="26" t="s">
        <v>468</v>
      </c>
      <c r="I138" s="26" t="s">
        <v>28</v>
      </c>
      <c r="J138" s="26" t="s">
        <v>137</v>
      </c>
      <c r="K138" s="26">
        <v>3410234</v>
      </c>
      <c r="L138" s="26" t="s">
        <v>30</v>
      </c>
      <c r="M138" s="26" t="s">
        <v>469</v>
      </c>
      <c r="N138" s="27" t="s">
        <v>470</v>
      </c>
      <c r="O138" s="28">
        <v>45988</v>
      </c>
      <c r="P138" s="26">
        <v>500</v>
      </c>
      <c r="Q138" s="29" t="s">
        <v>31</v>
      </c>
      <c r="R138" s="30">
        <v>5.2</v>
      </c>
      <c r="S138" s="29" t="str">
        <f t="shared" si="18"/>
        <v>-</v>
      </c>
      <c r="T138" s="30">
        <f t="shared" si="19"/>
        <v>2600</v>
      </c>
      <c r="U138" s="34">
        <v>46055</v>
      </c>
      <c r="V138" s="34" t="s">
        <v>31</v>
      </c>
      <c r="W138" s="33"/>
      <c r="X138" s="36" t="s">
        <v>32</v>
      </c>
      <c r="Y138" s="33" t="s">
        <v>634</v>
      </c>
      <c r="Z138" s="33" t="s">
        <v>632</v>
      </c>
      <c r="AA138" s="33" t="s">
        <v>636</v>
      </c>
      <c r="AB138" s="33" t="s">
        <v>628</v>
      </c>
    </row>
    <row r="139" spans="1:28" ht="24">
      <c r="A139" s="10" t="str">
        <f>IF('FY_25-26'!$D139="","",IF(OR('FY_25-26'!$D139="BOOHOO LADIES",'FY_25-26'!$D139="PLT",'FY_25-26'!$D139="KM"),"BUSINESS UNIT 1 - KIRAN","BUSINESS UNIT 2 - SHIFALI"))</f>
        <v>BUSINESS UNIT 1 - KIRAN</v>
      </c>
      <c r="B139" s="26">
        <f>IF('FY_25-26'!$C139&lt;&gt;"",ROW()-ROW($B$2),"")</f>
        <v>137</v>
      </c>
      <c r="C139" s="26" t="s">
        <v>460</v>
      </c>
      <c r="D139" s="26" t="s">
        <v>150</v>
      </c>
      <c r="E139" s="27" t="s">
        <v>422</v>
      </c>
      <c r="F139" s="26" t="s">
        <v>26</v>
      </c>
      <c r="G139" s="26" t="s">
        <v>27</v>
      </c>
      <c r="H139" s="26" t="s">
        <v>471</v>
      </c>
      <c r="I139" s="26" t="s">
        <v>28</v>
      </c>
      <c r="J139" s="26" t="s">
        <v>138</v>
      </c>
      <c r="K139" s="26">
        <v>3410240</v>
      </c>
      <c r="L139" s="26" t="s">
        <v>30</v>
      </c>
      <c r="M139" s="26" t="s">
        <v>472</v>
      </c>
      <c r="N139" s="27" t="s">
        <v>473</v>
      </c>
      <c r="O139" s="28">
        <v>45988</v>
      </c>
      <c r="P139" s="26">
        <v>330</v>
      </c>
      <c r="Q139" s="29" t="s">
        <v>31</v>
      </c>
      <c r="R139" s="30">
        <v>4.75</v>
      </c>
      <c r="S139" s="29" t="str">
        <f t="shared" si="18"/>
        <v>-</v>
      </c>
      <c r="T139" s="30">
        <f t="shared" si="19"/>
        <v>1567.5</v>
      </c>
      <c r="U139" s="34">
        <v>46020</v>
      </c>
      <c r="V139" s="34">
        <v>46034</v>
      </c>
      <c r="W139" s="33"/>
      <c r="X139" s="36" t="s">
        <v>32</v>
      </c>
      <c r="Y139" s="33" t="s">
        <v>634</v>
      </c>
      <c r="Z139" s="33" t="s">
        <v>632</v>
      </c>
      <c r="AA139" s="33" t="s">
        <v>636</v>
      </c>
      <c r="AB139" s="33" t="s">
        <v>628</v>
      </c>
    </row>
    <row r="140" spans="1:28" ht="24">
      <c r="A140" s="10" t="str">
        <f>IF('FY_25-26'!$D140="","",IF(OR('FY_25-26'!$D140="BOOHOO LADIES",'FY_25-26'!$D140="PLT",'FY_25-26'!$D140="KM"),"BUSINESS UNIT 1 - KIRAN","BUSINESS UNIT 2 - SHIFALI"))</f>
        <v>BUSINESS UNIT 1 - KIRAN</v>
      </c>
      <c r="B140" s="26">
        <f>IF('FY_25-26'!$C140&lt;&gt;"",ROW()-ROW($B$2),"")</f>
        <v>138</v>
      </c>
      <c r="C140" s="26" t="s">
        <v>459</v>
      </c>
      <c r="D140" s="26" t="s">
        <v>150</v>
      </c>
      <c r="E140" s="27" t="s">
        <v>384</v>
      </c>
      <c r="F140" s="26" t="s">
        <v>26</v>
      </c>
      <c r="G140" s="26" t="s">
        <v>27</v>
      </c>
      <c r="H140" s="26" t="s">
        <v>474</v>
      </c>
      <c r="I140" s="26" t="s">
        <v>28</v>
      </c>
      <c r="J140" s="26" t="s">
        <v>29</v>
      </c>
      <c r="K140" s="26">
        <v>3404657</v>
      </c>
      <c r="L140" s="26" t="s">
        <v>30</v>
      </c>
      <c r="M140" s="26" t="s">
        <v>475</v>
      </c>
      <c r="N140" s="27" t="s">
        <v>476</v>
      </c>
      <c r="O140" s="28">
        <v>45989</v>
      </c>
      <c r="P140" s="26">
        <v>300</v>
      </c>
      <c r="Q140" s="29" t="s">
        <v>31</v>
      </c>
      <c r="R140" s="30">
        <v>6.19</v>
      </c>
      <c r="S140" s="29" t="str">
        <f t="shared" si="18"/>
        <v>-</v>
      </c>
      <c r="T140" s="30">
        <f t="shared" si="19"/>
        <v>1857.0000000000002</v>
      </c>
      <c r="U140" s="34">
        <v>46020</v>
      </c>
      <c r="V140" s="34" t="s">
        <v>31</v>
      </c>
      <c r="W140" s="33"/>
      <c r="X140" s="36" t="s">
        <v>32</v>
      </c>
      <c r="Y140" s="33" t="s">
        <v>634</v>
      </c>
      <c r="Z140" s="33" t="s">
        <v>632</v>
      </c>
      <c r="AA140" s="33" t="s">
        <v>636</v>
      </c>
      <c r="AB140" s="33" t="s">
        <v>628</v>
      </c>
    </row>
    <row r="141" spans="1:28" ht="30">
      <c r="A141" s="12" t="str">
        <f>IF('FY_25-26'!$D141="","",IF(OR('FY_25-26'!$D141="BOOHOO LADIES",'FY_25-26'!$D141="PLT",'FY_25-26'!$D141="KM"),"BUSINESS UNIT 1 - KIRAN","BUSINESS UNIT 2 - SHIFALI"))</f>
        <v>BUSINESS UNIT 1 - KIRAN</v>
      </c>
      <c r="B141" s="26">
        <f>IF('FY_25-26'!$C141&lt;&gt;"",ROW()-ROW($B$2),"")</f>
        <v>139</v>
      </c>
      <c r="C141" s="26" t="s">
        <v>459</v>
      </c>
      <c r="D141" s="26" t="s">
        <v>150</v>
      </c>
      <c r="E141" s="27" t="s">
        <v>384</v>
      </c>
      <c r="F141" s="26" t="s">
        <v>26</v>
      </c>
      <c r="G141" s="26" t="s">
        <v>27</v>
      </c>
      <c r="H141" s="26" t="s">
        <v>477</v>
      </c>
      <c r="I141" s="26" t="s">
        <v>28</v>
      </c>
      <c r="J141" s="26" t="s">
        <v>29</v>
      </c>
      <c r="K141" s="26">
        <v>3404652</v>
      </c>
      <c r="L141" s="26" t="s">
        <v>30</v>
      </c>
      <c r="M141" s="26" t="s">
        <v>478</v>
      </c>
      <c r="N141" s="27" t="s">
        <v>479</v>
      </c>
      <c r="O141" s="28">
        <v>45989</v>
      </c>
      <c r="P141" s="26">
        <v>305</v>
      </c>
      <c r="Q141" s="29" t="s">
        <v>31</v>
      </c>
      <c r="R141" s="30">
        <v>5.12</v>
      </c>
      <c r="S141" s="29" t="str">
        <f t="shared" si="18"/>
        <v>-</v>
      </c>
      <c r="T141" s="30">
        <f t="shared" si="19"/>
        <v>1561.6000000000001</v>
      </c>
      <c r="U141" s="34">
        <v>46048</v>
      </c>
      <c r="V141" s="34" t="s">
        <v>31</v>
      </c>
      <c r="W141" s="33"/>
      <c r="X141" s="36" t="s">
        <v>32</v>
      </c>
      <c r="Y141" s="33" t="s">
        <v>634</v>
      </c>
      <c r="Z141" s="33" t="s">
        <v>632</v>
      </c>
      <c r="AA141" s="33" t="s">
        <v>636</v>
      </c>
      <c r="AB141" s="33" t="s">
        <v>628</v>
      </c>
    </row>
    <row r="142" spans="1:28" ht="24">
      <c r="A142" s="12" t="str">
        <f>IF('FY_25-26'!$D142="","",IF(OR('FY_25-26'!$D142="BOOHOO LADIES",'FY_25-26'!$D142="PLT",'FY_25-26'!$D142="KM"),"BUSINESS UNIT 1 - KIRAN","BUSINESS UNIT 2 - SHIFALI"))</f>
        <v>BUSINESS UNIT 1 - KIRAN</v>
      </c>
      <c r="B142" s="26">
        <f>IF('FY_25-26'!$C142&lt;&gt;"",ROW()-ROW($B$2),"")</f>
        <v>140</v>
      </c>
      <c r="C142" s="26" t="s">
        <v>459</v>
      </c>
      <c r="D142" s="26" t="s">
        <v>150</v>
      </c>
      <c r="E142" s="27" t="s">
        <v>384</v>
      </c>
      <c r="F142" s="26" t="s">
        <v>26</v>
      </c>
      <c r="G142" s="26" t="s">
        <v>27</v>
      </c>
      <c r="H142" s="26" t="s">
        <v>480</v>
      </c>
      <c r="I142" s="26" t="s">
        <v>28</v>
      </c>
      <c r="J142" s="26" t="s">
        <v>29</v>
      </c>
      <c r="K142" s="26">
        <v>3404659</v>
      </c>
      <c r="L142" s="26" t="s">
        <v>30</v>
      </c>
      <c r="M142" s="26" t="s">
        <v>481</v>
      </c>
      <c r="N142" s="27" t="s">
        <v>482</v>
      </c>
      <c r="O142" s="28">
        <v>45989</v>
      </c>
      <c r="P142" s="26">
        <v>300</v>
      </c>
      <c r="Q142" s="29" t="s">
        <v>31</v>
      </c>
      <c r="R142" s="30">
        <v>6.05</v>
      </c>
      <c r="S142" s="29" t="str">
        <f t="shared" si="18"/>
        <v>-</v>
      </c>
      <c r="T142" s="30">
        <f t="shared" si="19"/>
        <v>1815</v>
      </c>
      <c r="U142" s="34">
        <v>46048</v>
      </c>
      <c r="V142" s="34" t="s">
        <v>31</v>
      </c>
      <c r="W142" s="33"/>
      <c r="X142" s="36" t="s">
        <v>32</v>
      </c>
      <c r="Y142" s="33" t="s">
        <v>634</v>
      </c>
      <c r="Z142" s="33" t="s">
        <v>632</v>
      </c>
      <c r="AA142" s="33" t="s">
        <v>636</v>
      </c>
      <c r="AB142" s="33" t="s">
        <v>628</v>
      </c>
    </row>
    <row r="143" spans="1:28" ht="24">
      <c r="A143" s="12" t="str">
        <f>IF('FY_25-26'!$D143="","",IF(OR('FY_25-26'!$D143="BOOHOO LADIES",'FY_25-26'!$D143="PLT",'FY_25-26'!$D143="KM"),"BUSINESS UNIT 1 - KIRAN","BUSINESS UNIT 2 - SHIFALI"))</f>
        <v>BUSINESS UNIT 1 - KIRAN</v>
      </c>
      <c r="B143" s="26">
        <f>IF('FY_25-26'!$C143&lt;&gt;"",ROW()-ROW($B$2),"")</f>
        <v>141</v>
      </c>
      <c r="C143" s="26" t="s">
        <v>459</v>
      </c>
      <c r="D143" s="26" t="s">
        <v>150</v>
      </c>
      <c r="E143" s="27" t="s">
        <v>384</v>
      </c>
      <c r="F143" s="26" t="s">
        <v>26</v>
      </c>
      <c r="G143" s="26" t="s">
        <v>27</v>
      </c>
      <c r="H143" s="26" t="s">
        <v>483</v>
      </c>
      <c r="I143" s="26" t="s">
        <v>28</v>
      </c>
      <c r="J143" s="26" t="s">
        <v>124</v>
      </c>
      <c r="K143" s="26">
        <v>3404655</v>
      </c>
      <c r="L143" s="26" t="s">
        <v>30</v>
      </c>
      <c r="M143" s="26" t="s">
        <v>484</v>
      </c>
      <c r="N143" s="27" t="s">
        <v>485</v>
      </c>
      <c r="O143" s="28">
        <v>45989</v>
      </c>
      <c r="P143" s="26">
        <v>205</v>
      </c>
      <c r="Q143" s="29" t="s">
        <v>31</v>
      </c>
      <c r="R143" s="30">
        <v>4.68</v>
      </c>
      <c r="S143" s="29" t="str">
        <f t="shared" si="18"/>
        <v>-</v>
      </c>
      <c r="T143" s="30">
        <f t="shared" si="19"/>
        <v>959.4</v>
      </c>
      <c r="U143" s="34">
        <v>46048</v>
      </c>
      <c r="V143" s="34" t="s">
        <v>31</v>
      </c>
      <c r="W143" s="33"/>
      <c r="X143" s="36" t="s">
        <v>32</v>
      </c>
      <c r="Y143" s="33" t="s">
        <v>634</v>
      </c>
      <c r="Z143" s="33" t="s">
        <v>632</v>
      </c>
      <c r="AA143" s="33" t="s">
        <v>636</v>
      </c>
      <c r="AB143" s="33" t="s">
        <v>628</v>
      </c>
    </row>
    <row r="144" spans="1:28" ht="24">
      <c r="A144" s="12" t="str">
        <f>IF('FY_25-26'!$D144="","",IF(OR('FY_25-26'!$D144="BOOHOO LADIES",'FY_25-26'!$D144="PLT",'FY_25-26'!$D144="KM"),"BUSINESS UNIT 1 - KIRAN","BUSINESS UNIT 2 - SHIFALI"))</f>
        <v>BUSINESS UNIT 1 - KIRAN</v>
      </c>
      <c r="B144" s="26">
        <f>IF('FY_25-26'!$C144&lt;&gt;"",ROW()-ROW($B$2),"")</f>
        <v>142</v>
      </c>
      <c r="C144" s="26" t="s">
        <v>459</v>
      </c>
      <c r="D144" s="26" t="s">
        <v>150</v>
      </c>
      <c r="E144" s="27" t="s">
        <v>384</v>
      </c>
      <c r="F144" s="26" t="s">
        <v>26</v>
      </c>
      <c r="G144" s="26" t="s">
        <v>27</v>
      </c>
      <c r="H144" s="26" t="s">
        <v>483</v>
      </c>
      <c r="I144" s="26" t="s">
        <v>28</v>
      </c>
      <c r="J144" s="26" t="s">
        <v>124</v>
      </c>
      <c r="K144" s="26">
        <v>3404661</v>
      </c>
      <c r="L144" s="26" t="s">
        <v>30</v>
      </c>
      <c r="M144" s="26" t="s">
        <v>484</v>
      </c>
      <c r="N144" s="27" t="s">
        <v>485</v>
      </c>
      <c r="O144" s="28">
        <v>45989</v>
      </c>
      <c r="P144" s="26">
        <v>205</v>
      </c>
      <c r="Q144" s="29" t="s">
        <v>31</v>
      </c>
      <c r="R144" s="30">
        <v>4.68</v>
      </c>
      <c r="S144" s="29" t="str">
        <f t="shared" si="18"/>
        <v>-</v>
      </c>
      <c r="T144" s="30">
        <f t="shared" si="19"/>
        <v>959.4</v>
      </c>
      <c r="U144" s="34">
        <v>46076</v>
      </c>
      <c r="V144" s="34" t="s">
        <v>31</v>
      </c>
      <c r="W144" s="33"/>
      <c r="X144" s="36" t="s">
        <v>32</v>
      </c>
      <c r="Y144" s="33" t="s">
        <v>634</v>
      </c>
      <c r="Z144" s="33" t="s">
        <v>632</v>
      </c>
      <c r="AA144" s="33" t="s">
        <v>636</v>
      </c>
      <c r="AB144" s="33" t="s">
        <v>628</v>
      </c>
    </row>
    <row r="145" spans="1:28" ht="24">
      <c r="A145" s="12" t="str">
        <f>IF('FY_25-26'!$D145="","",IF(OR('FY_25-26'!$D145="BOOHOO LADIES",'FY_25-26'!$D145="PLT",'FY_25-26'!$D145="KM"),"BUSINESS UNIT 1 - KIRAN","BUSINESS UNIT 2 - SHIFALI"))</f>
        <v>BUSINESS UNIT 1 - KIRAN</v>
      </c>
      <c r="B145" s="26">
        <f>IF('FY_25-26'!$C145&lt;&gt;"",ROW()-ROW($B$2),"")</f>
        <v>143</v>
      </c>
      <c r="C145" s="26" t="s">
        <v>459</v>
      </c>
      <c r="D145" s="26" t="s">
        <v>150</v>
      </c>
      <c r="E145" s="27" t="s">
        <v>384</v>
      </c>
      <c r="F145" s="26" t="s">
        <v>26</v>
      </c>
      <c r="G145" s="26" t="s">
        <v>27</v>
      </c>
      <c r="H145" s="26" t="s">
        <v>486</v>
      </c>
      <c r="I145" s="26" t="s">
        <v>28</v>
      </c>
      <c r="J145" s="26" t="s">
        <v>29</v>
      </c>
      <c r="K145" s="26">
        <v>3404656</v>
      </c>
      <c r="L145" s="26" t="s">
        <v>30</v>
      </c>
      <c r="M145" s="26" t="s">
        <v>487</v>
      </c>
      <c r="N145" s="27" t="s">
        <v>488</v>
      </c>
      <c r="O145" s="28">
        <v>45989</v>
      </c>
      <c r="P145" s="26">
        <v>300</v>
      </c>
      <c r="Q145" s="29" t="s">
        <v>31</v>
      </c>
      <c r="R145" s="30">
        <v>4.68</v>
      </c>
      <c r="S145" s="29" t="str">
        <f t="shared" si="18"/>
        <v>-</v>
      </c>
      <c r="T145" s="30">
        <f t="shared" si="19"/>
        <v>1404</v>
      </c>
      <c r="U145" s="34">
        <v>46048</v>
      </c>
      <c r="V145" s="34" t="s">
        <v>31</v>
      </c>
      <c r="W145" s="33"/>
      <c r="X145" s="36" t="s">
        <v>32</v>
      </c>
      <c r="Y145" s="33" t="s">
        <v>634</v>
      </c>
      <c r="Z145" s="33" t="s">
        <v>632</v>
      </c>
      <c r="AA145" s="33" t="s">
        <v>636</v>
      </c>
      <c r="AB145" s="33" t="s">
        <v>628</v>
      </c>
    </row>
    <row r="146" spans="1:28" ht="24">
      <c r="A146" s="12" t="str">
        <f>IF('FY_25-26'!$D146="","",IF(OR('FY_25-26'!$D146="BOOHOO LADIES",'FY_25-26'!$D146="PLT",'FY_25-26'!$D146="KM"),"BUSINESS UNIT 1 - KIRAN","BUSINESS UNIT 2 - SHIFALI"))</f>
        <v>BUSINESS UNIT 1 - KIRAN</v>
      </c>
      <c r="B146" s="26">
        <f>IF('FY_25-26'!$C146&lt;&gt;"",ROW()-ROW($B$2),"")</f>
        <v>144</v>
      </c>
      <c r="C146" s="26" t="s">
        <v>459</v>
      </c>
      <c r="D146" s="26" t="s">
        <v>150</v>
      </c>
      <c r="E146" s="27" t="s">
        <v>384</v>
      </c>
      <c r="F146" s="26" t="s">
        <v>26</v>
      </c>
      <c r="G146" s="26" t="s">
        <v>27</v>
      </c>
      <c r="H146" s="26" t="s">
        <v>486</v>
      </c>
      <c r="I146" s="26" t="s">
        <v>28</v>
      </c>
      <c r="J146" s="26" t="s">
        <v>29</v>
      </c>
      <c r="K146" s="26">
        <v>3404658</v>
      </c>
      <c r="L146" s="26" t="s">
        <v>30</v>
      </c>
      <c r="M146" s="26" t="s">
        <v>487</v>
      </c>
      <c r="N146" s="27" t="s">
        <v>488</v>
      </c>
      <c r="O146" s="28">
        <v>45989</v>
      </c>
      <c r="P146" s="26">
        <v>300</v>
      </c>
      <c r="Q146" s="29" t="s">
        <v>31</v>
      </c>
      <c r="R146" s="30">
        <v>4.68</v>
      </c>
      <c r="S146" s="29" t="str">
        <f t="shared" si="18"/>
        <v>-</v>
      </c>
      <c r="T146" s="30">
        <f t="shared" si="19"/>
        <v>1404</v>
      </c>
      <c r="U146" s="34">
        <v>46076</v>
      </c>
      <c r="V146" s="34" t="s">
        <v>31</v>
      </c>
      <c r="W146" s="33"/>
      <c r="X146" s="36" t="s">
        <v>32</v>
      </c>
      <c r="Y146" s="33" t="s">
        <v>634</v>
      </c>
      <c r="Z146" s="33" t="s">
        <v>632</v>
      </c>
      <c r="AA146" s="33" t="s">
        <v>636</v>
      </c>
      <c r="AB146" s="33" t="s">
        <v>628</v>
      </c>
    </row>
    <row r="147" spans="1:28" ht="24">
      <c r="A147" s="12" t="str">
        <f>IF('FY_25-26'!$D147="","",IF(OR('FY_25-26'!$D147="BOOHOO LADIES",'FY_25-26'!$D147="PLT",'FY_25-26'!$D147="KM"),"BUSINESS UNIT 1 - KIRAN","BUSINESS UNIT 2 - SHIFALI"))</f>
        <v>BUSINESS UNIT 1 - KIRAN</v>
      </c>
      <c r="B147" s="26">
        <f>IF('FY_25-26'!$C147&lt;&gt;"",ROW()-ROW($B$2),"")</f>
        <v>145</v>
      </c>
      <c r="C147" s="26" t="s">
        <v>459</v>
      </c>
      <c r="D147" s="26" t="s">
        <v>150</v>
      </c>
      <c r="E147" s="27" t="s">
        <v>384</v>
      </c>
      <c r="F147" s="26" t="s">
        <v>26</v>
      </c>
      <c r="G147" s="26" t="s">
        <v>27</v>
      </c>
      <c r="H147" s="26" t="s">
        <v>489</v>
      </c>
      <c r="I147" s="26" t="s">
        <v>28</v>
      </c>
      <c r="J147" s="26" t="s">
        <v>124</v>
      </c>
      <c r="K147" s="26">
        <v>3404651</v>
      </c>
      <c r="L147" s="26" t="s">
        <v>30</v>
      </c>
      <c r="M147" s="26" t="s">
        <v>490</v>
      </c>
      <c r="N147" s="27" t="s">
        <v>491</v>
      </c>
      <c r="O147" s="28">
        <v>45989</v>
      </c>
      <c r="P147" s="26">
        <v>300</v>
      </c>
      <c r="Q147" s="29" t="s">
        <v>31</v>
      </c>
      <c r="R147" s="30">
        <v>4.05</v>
      </c>
      <c r="S147" s="29" t="str">
        <f t="shared" si="18"/>
        <v>-</v>
      </c>
      <c r="T147" s="30">
        <f t="shared" si="19"/>
        <v>1215</v>
      </c>
      <c r="U147" s="34">
        <v>46048</v>
      </c>
      <c r="V147" s="34" t="s">
        <v>31</v>
      </c>
      <c r="W147" s="33"/>
      <c r="X147" s="36" t="s">
        <v>32</v>
      </c>
      <c r="Y147" s="33" t="s">
        <v>634</v>
      </c>
      <c r="Z147" s="33" t="s">
        <v>632</v>
      </c>
      <c r="AA147" s="33" t="s">
        <v>636</v>
      </c>
      <c r="AB147" s="33" t="s">
        <v>628</v>
      </c>
    </row>
    <row r="148" spans="1:28" ht="24">
      <c r="A148" s="12" t="str">
        <f>IF('FY_25-26'!$D148="","",IF(OR('FY_25-26'!$D148="BOOHOO LADIES",'FY_25-26'!$D148="PLT",'FY_25-26'!$D148="KM"),"BUSINESS UNIT 1 - KIRAN","BUSINESS UNIT 2 - SHIFALI"))</f>
        <v>BUSINESS UNIT 1 - KIRAN</v>
      </c>
      <c r="B148" s="26">
        <f>IF('FY_25-26'!$C148&lt;&gt;"",ROW()-ROW($B$2),"")</f>
        <v>146</v>
      </c>
      <c r="C148" s="26" t="s">
        <v>459</v>
      </c>
      <c r="D148" s="26" t="s">
        <v>150</v>
      </c>
      <c r="E148" s="27" t="s">
        <v>384</v>
      </c>
      <c r="F148" s="26" t="s">
        <v>26</v>
      </c>
      <c r="G148" s="26" t="s">
        <v>27</v>
      </c>
      <c r="H148" s="26" t="s">
        <v>489</v>
      </c>
      <c r="I148" s="26" t="s">
        <v>28</v>
      </c>
      <c r="J148" s="26" t="s">
        <v>29</v>
      </c>
      <c r="K148" s="26">
        <v>3404653</v>
      </c>
      <c r="L148" s="26" t="s">
        <v>30</v>
      </c>
      <c r="M148" s="26" t="s">
        <v>490</v>
      </c>
      <c r="N148" s="27" t="s">
        <v>491</v>
      </c>
      <c r="O148" s="28">
        <v>45989</v>
      </c>
      <c r="P148" s="26">
        <v>300</v>
      </c>
      <c r="Q148" s="29" t="s">
        <v>31</v>
      </c>
      <c r="R148" s="30">
        <v>4.05</v>
      </c>
      <c r="S148" s="29" t="str">
        <f t="shared" si="18"/>
        <v>-</v>
      </c>
      <c r="T148" s="30">
        <f t="shared" si="19"/>
        <v>1215</v>
      </c>
      <c r="U148" s="34">
        <v>46048</v>
      </c>
      <c r="V148" s="34" t="s">
        <v>31</v>
      </c>
      <c r="W148" s="33"/>
      <c r="X148" s="36" t="s">
        <v>32</v>
      </c>
      <c r="Y148" s="33" t="s">
        <v>634</v>
      </c>
      <c r="Z148" s="33" t="s">
        <v>632</v>
      </c>
      <c r="AA148" s="33" t="s">
        <v>636</v>
      </c>
      <c r="AB148" s="33" t="s">
        <v>628</v>
      </c>
    </row>
    <row r="149" spans="1:28" ht="24">
      <c r="A149" s="12" t="str">
        <f>IF('FY_25-26'!$D149="","",IF(OR('FY_25-26'!$D149="BOOHOO LADIES",'FY_25-26'!$D149="PLT",'FY_25-26'!$D149="KM"),"BUSINESS UNIT 1 - KIRAN","BUSINESS UNIT 2 - SHIFALI"))</f>
        <v>BUSINESS UNIT 1 - KIRAN</v>
      </c>
      <c r="B149" s="26">
        <f>IF('FY_25-26'!$C149&lt;&gt;"",ROW()-ROW($B$2),"")</f>
        <v>147</v>
      </c>
      <c r="C149" s="26" t="s">
        <v>459</v>
      </c>
      <c r="D149" s="26" t="s">
        <v>150</v>
      </c>
      <c r="E149" s="27" t="s">
        <v>384</v>
      </c>
      <c r="F149" s="26" t="s">
        <v>26</v>
      </c>
      <c r="G149" s="26" t="s">
        <v>27</v>
      </c>
      <c r="H149" s="26" t="s">
        <v>489</v>
      </c>
      <c r="I149" s="26" t="s">
        <v>28</v>
      </c>
      <c r="J149" s="26" t="s">
        <v>124</v>
      </c>
      <c r="K149" s="26">
        <v>3404654</v>
      </c>
      <c r="L149" s="26" t="s">
        <v>30</v>
      </c>
      <c r="M149" s="26" t="s">
        <v>490</v>
      </c>
      <c r="N149" s="27" t="s">
        <v>491</v>
      </c>
      <c r="O149" s="28">
        <v>45989</v>
      </c>
      <c r="P149" s="26">
        <v>300</v>
      </c>
      <c r="Q149" s="29" t="s">
        <v>31</v>
      </c>
      <c r="R149" s="30">
        <v>4.05</v>
      </c>
      <c r="S149" s="29" t="str">
        <f t="shared" si="18"/>
        <v>-</v>
      </c>
      <c r="T149" s="30">
        <f t="shared" si="19"/>
        <v>1215</v>
      </c>
      <c r="U149" s="34">
        <v>46076</v>
      </c>
      <c r="V149" s="34" t="s">
        <v>31</v>
      </c>
      <c r="W149" s="33"/>
      <c r="X149" s="36" t="s">
        <v>32</v>
      </c>
      <c r="Y149" s="33" t="s">
        <v>634</v>
      </c>
      <c r="Z149" s="33" t="s">
        <v>632</v>
      </c>
      <c r="AA149" s="33" t="s">
        <v>636</v>
      </c>
      <c r="AB149" s="33" t="s">
        <v>628</v>
      </c>
    </row>
    <row r="150" spans="1:28" ht="24">
      <c r="A150" s="12" t="str">
        <f>IF('FY_25-26'!$D150="","",IF(OR('FY_25-26'!$D150="BOOHOO LADIES",'FY_25-26'!$D150="PLT",'FY_25-26'!$D150="KM"),"BUSINESS UNIT 1 - KIRAN","BUSINESS UNIT 2 - SHIFALI"))</f>
        <v>BUSINESS UNIT 1 - KIRAN</v>
      </c>
      <c r="B150" s="26">
        <f>IF('FY_25-26'!$C150&lt;&gt;"",ROW()-ROW($B$2),"")</f>
        <v>148</v>
      </c>
      <c r="C150" s="26" t="s">
        <v>70</v>
      </c>
      <c r="D150" s="26" t="s">
        <v>71</v>
      </c>
      <c r="E150" s="27" t="s">
        <v>496</v>
      </c>
      <c r="F150" s="26" t="s">
        <v>26</v>
      </c>
      <c r="G150" s="26" t="s">
        <v>27</v>
      </c>
      <c r="H150" s="26" t="s">
        <v>501</v>
      </c>
      <c r="I150" s="26" t="s">
        <v>36</v>
      </c>
      <c r="J150" s="26" t="s">
        <v>124</v>
      </c>
      <c r="K150" s="26">
        <v>70026275</v>
      </c>
      <c r="L150" s="26" t="s">
        <v>30</v>
      </c>
      <c r="M150" s="26" t="s">
        <v>500</v>
      </c>
      <c r="N150" s="27" t="s">
        <v>502</v>
      </c>
      <c r="O150" s="28">
        <v>45995</v>
      </c>
      <c r="P150" s="26">
        <v>352</v>
      </c>
      <c r="Q150" s="29" t="s">
        <v>31</v>
      </c>
      <c r="R150" s="30">
        <v>6</v>
      </c>
      <c r="S150" s="29" t="str">
        <f t="shared" ref="S150:S163" si="20">IF($Q150="","",IF($Q150="-","-",$P150*$Q150))</f>
        <v>-</v>
      </c>
      <c r="T150" s="30">
        <f t="shared" ref="T150:T163" si="21">IF($R150="","",IF($R150="-","-",$P150*$R150))</f>
        <v>2112</v>
      </c>
      <c r="U150" s="34">
        <v>46131</v>
      </c>
      <c r="V150" s="34" t="s">
        <v>31</v>
      </c>
      <c r="W150" s="33"/>
      <c r="X150" s="36" t="s">
        <v>40</v>
      </c>
      <c r="Y150" s="33" t="s">
        <v>635</v>
      </c>
      <c r="Z150" s="33" t="s">
        <v>632</v>
      </c>
      <c r="AA150" s="33" t="s">
        <v>636</v>
      </c>
      <c r="AB150" s="33" t="s">
        <v>628</v>
      </c>
    </row>
    <row r="151" spans="1:28" ht="24">
      <c r="A151" s="12" t="str">
        <f>IF('FY_25-26'!$D151="","",IF(OR('FY_25-26'!$D151="BOOHOO LADIES",'FY_25-26'!$D151="PLT",'FY_25-26'!$D151="KM"),"BUSINESS UNIT 1 - KIRAN","BUSINESS UNIT 2 - SHIFALI"))</f>
        <v>BUSINESS UNIT 1 - KIRAN</v>
      </c>
      <c r="B151" s="26">
        <f>IF('FY_25-26'!$C151&lt;&gt;"",ROW()-ROW($B$2),"")</f>
        <v>149</v>
      </c>
      <c r="C151" s="26" t="s">
        <v>70</v>
      </c>
      <c r="D151" s="26" t="s">
        <v>71</v>
      </c>
      <c r="E151" s="27" t="s">
        <v>496</v>
      </c>
      <c r="F151" s="26" t="s">
        <v>26</v>
      </c>
      <c r="G151" s="26" t="s">
        <v>27</v>
      </c>
      <c r="H151" s="26" t="s">
        <v>503</v>
      </c>
      <c r="I151" s="26" t="s">
        <v>36</v>
      </c>
      <c r="J151" s="26" t="s">
        <v>84</v>
      </c>
      <c r="K151" s="26">
        <v>70026276</v>
      </c>
      <c r="L151" s="26" t="s">
        <v>30</v>
      </c>
      <c r="M151" s="26" t="s">
        <v>499</v>
      </c>
      <c r="N151" s="27" t="s">
        <v>504</v>
      </c>
      <c r="O151" s="28">
        <v>45995</v>
      </c>
      <c r="P151" s="26">
        <v>253</v>
      </c>
      <c r="Q151" s="29" t="s">
        <v>31</v>
      </c>
      <c r="R151" s="30">
        <v>6</v>
      </c>
      <c r="S151" s="29" t="str">
        <f t="shared" si="20"/>
        <v>-</v>
      </c>
      <c r="T151" s="30">
        <f t="shared" si="21"/>
        <v>1518</v>
      </c>
      <c r="U151" s="34">
        <v>46132</v>
      </c>
      <c r="V151" s="34" t="s">
        <v>31</v>
      </c>
      <c r="W151" s="33"/>
      <c r="X151" s="36" t="s">
        <v>40</v>
      </c>
      <c r="Y151" s="33" t="s">
        <v>635</v>
      </c>
      <c r="Z151" s="33" t="s">
        <v>632</v>
      </c>
      <c r="AA151" s="33" t="s">
        <v>636</v>
      </c>
      <c r="AB151" s="33" t="s">
        <v>628</v>
      </c>
    </row>
    <row r="152" spans="1:28" ht="24">
      <c r="A152" s="12" t="str">
        <f>IF('FY_25-26'!$D152="","",IF(OR('FY_25-26'!$D152="BOOHOO LADIES",'FY_25-26'!$D152="PLT",'FY_25-26'!$D152="KM"),"BUSINESS UNIT 1 - KIRAN","BUSINESS UNIT 2 - SHIFALI"))</f>
        <v>BUSINESS UNIT 1 - KIRAN</v>
      </c>
      <c r="B152" s="26">
        <f>IF('FY_25-26'!$C152&lt;&gt;"",ROW()-ROW($B$2),"")</f>
        <v>150</v>
      </c>
      <c r="C152" s="26" t="s">
        <v>70</v>
      </c>
      <c r="D152" s="26" t="s">
        <v>71</v>
      </c>
      <c r="E152" s="27" t="s">
        <v>496</v>
      </c>
      <c r="F152" s="26" t="s">
        <v>26</v>
      </c>
      <c r="G152" s="26" t="s">
        <v>27</v>
      </c>
      <c r="H152" s="26" t="s">
        <v>505</v>
      </c>
      <c r="I152" s="26" t="s">
        <v>36</v>
      </c>
      <c r="J152" s="26" t="s">
        <v>497</v>
      </c>
      <c r="K152" s="26">
        <v>70026279</v>
      </c>
      <c r="L152" s="26" t="s">
        <v>30</v>
      </c>
      <c r="M152" s="26" t="s">
        <v>498</v>
      </c>
      <c r="N152" s="27" t="s">
        <v>506</v>
      </c>
      <c r="O152" s="28">
        <v>45995</v>
      </c>
      <c r="P152" s="26">
        <v>253</v>
      </c>
      <c r="Q152" s="29" t="s">
        <v>31</v>
      </c>
      <c r="R152" s="30">
        <v>6.3</v>
      </c>
      <c r="S152" s="29" t="str">
        <f t="shared" si="20"/>
        <v>-</v>
      </c>
      <c r="T152" s="30">
        <f t="shared" si="21"/>
        <v>1593.8999999999999</v>
      </c>
      <c r="U152" s="34">
        <v>46132</v>
      </c>
      <c r="V152" s="34" t="s">
        <v>31</v>
      </c>
      <c r="W152" s="33"/>
      <c r="X152" s="36" t="s">
        <v>40</v>
      </c>
      <c r="Y152" s="33" t="s">
        <v>635</v>
      </c>
      <c r="Z152" s="33" t="s">
        <v>632</v>
      </c>
      <c r="AA152" s="33" t="s">
        <v>636</v>
      </c>
      <c r="AB152" s="33" t="s">
        <v>628</v>
      </c>
    </row>
    <row r="153" spans="1:28" ht="24">
      <c r="A153" s="10" t="str">
        <f>IF('FY_25-26'!$D153="","",IF(OR('FY_25-26'!$D153="BOOHOO LADIES",'FY_25-26'!$D153="PLT",'FY_25-26'!$D153="KM"),"BUSINESS UNIT 1 - KIRAN","BUSINESS UNIT 2 - SHIFALI"))</f>
        <v>BUSINESS UNIT 1 - KIRAN</v>
      </c>
      <c r="B153" s="26">
        <f>IF('FY_25-26'!$C153&lt;&gt;"",ROW()-ROW($B$2),"")</f>
        <v>151</v>
      </c>
      <c r="C153" s="26" t="s">
        <v>70</v>
      </c>
      <c r="D153" s="26" t="s">
        <v>71</v>
      </c>
      <c r="E153" s="27" t="s">
        <v>496</v>
      </c>
      <c r="F153" s="26" t="s">
        <v>26</v>
      </c>
      <c r="G153" s="26" t="s">
        <v>27</v>
      </c>
      <c r="H153" s="26" t="s">
        <v>507</v>
      </c>
      <c r="I153" s="26" t="s">
        <v>36</v>
      </c>
      <c r="J153" s="26" t="s">
        <v>137</v>
      </c>
      <c r="K153" s="26">
        <v>70026284</v>
      </c>
      <c r="L153" s="26" t="s">
        <v>30</v>
      </c>
      <c r="M153" s="26" t="s">
        <v>508</v>
      </c>
      <c r="N153" s="27" t="s">
        <v>509</v>
      </c>
      <c r="O153" s="28">
        <v>45995</v>
      </c>
      <c r="P153" s="26">
        <v>352</v>
      </c>
      <c r="Q153" s="29" t="s">
        <v>31</v>
      </c>
      <c r="R153" s="30">
        <v>6.1</v>
      </c>
      <c r="S153" s="29" t="str">
        <f t="shared" si="20"/>
        <v>-</v>
      </c>
      <c r="T153" s="30">
        <f t="shared" si="21"/>
        <v>2147.1999999999998</v>
      </c>
      <c r="U153" s="34">
        <v>46132</v>
      </c>
      <c r="V153" s="34" t="s">
        <v>31</v>
      </c>
      <c r="W153" s="33"/>
      <c r="X153" s="36" t="s">
        <v>40</v>
      </c>
      <c r="Y153" s="33" t="s">
        <v>635</v>
      </c>
      <c r="Z153" s="33" t="s">
        <v>632</v>
      </c>
      <c r="AA153" s="33" t="s">
        <v>636</v>
      </c>
      <c r="AB153" s="33" t="s">
        <v>628</v>
      </c>
    </row>
    <row r="154" spans="1:28" ht="24">
      <c r="A154" s="12" t="str">
        <f>IF('FY_25-26'!$D154="","",IF(OR('FY_25-26'!$D154="BOOHOO LADIES",'FY_25-26'!$D154="PLT",'FY_25-26'!$D154="KM"),"BUSINESS UNIT 1 - KIRAN","BUSINESS UNIT 2 - SHIFALI"))</f>
        <v>BUSINESS UNIT 1 - KIRAN</v>
      </c>
      <c r="B154" s="26">
        <f>IF('FY_25-26'!$C154&lt;&gt;"",ROW()-ROW($B$2),"")</f>
        <v>152</v>
      </c>
      <c r="C154" s="26" t="s">
        <v>70</v>
      </c>
      <c r="D154" s="26" t="s">
        <v>71</v>
      </c>
      <c r="E154" s="27" t="s">
        <v>496</v>
      </c>
      <c r="F154" s="26" t="s">
        <v>26</v>
      </c>
      <c r="G154" s="26" t="s">
        <v>27</v>
      </c>
      <c r="H154" s="26" t="s">
        <v>510</v>
      </c>
      <c r="I154" s="26" t="s">
        <v>36</v>
      </c>
      <c r="J154" s="26" t="s">
        <v>100</v>
      </c>
      <c r="K154" s="26">
        <v>70026287</v>
      </c>
      <c r="L154" s="26" t="s">
        <v>30</v>
      </c>
      <c r="M154" s="26" t="s">
        <v>508</v>
      </c>
      <c r="N154" s="27" t="s">
        <v>511</v>
      </c>
      <c r="O154" s="28">
        <v>45995</v>
      </c>
      <c r="P154" s="26">
        <v>352</v>
      </c>
      <c r="Q154" s="29" t="s">
        <v>31</v>
      </c>
      <c r="R154" s="30">
        <v>6.1</v>
      </c>
      <c r="S154" s="29" t="str">
        <f t="shared" si="20"/>
        <v>-</v>
      </c>
      <c r="T154" s="30">
        <f t="shared" si="21"/>
        <v>2147.1999999999998</v>
      </c>
      <c r="U154" s="34">
        <v>46132</v>
      </c>
      <c r="V154" s="34" t="s">
        <v>31</v>
      </c>
      <c r="W154" s="33"/>
      <c r="X154" s="36" t="s">
        <v>40</v>
      </c>
      <c r="Y154" s="33" t="s">
        <v>635</v>
      </c>
      <c r="Z154" s="33" t="s">
        <v>632</v>
      </c>
      <c r="AA154" s="33" t="s">
        <v>636</v>
      </c>
      <c r="AB154" s="33" t="s">
        <v>628</v>
      </c>
    </row>
    <row r="155" spans="1:28" ht="30">
      <c r="A155" s="12" t="str">
        <f>IF('FY_25-26'!$D155="","",IF(OR('FY_25-26'!$D155="BOOHOO LADIES",'FY_25-26'!$D155="PLT",'FY_25-26'!$D155="KM"),"BUSINESS UNIT 1 - KIRAN","BUSINESS UNIT 2 - SHIFALI"))</f>
        <v>BUSINESS UNIT 2 - SHIFALI</v>
      </c>
      <c r="B155" s="26">
        <f>IF('FY_25-26'!$C155&lt;&gt;"",ROW()-ROW($B$2),"")</f>
        <v>153</v>
      </c>
      <c r="C155" s="26" t="s">
        <v>37</v>
      </c>
      <c r="D155" s="26" t="s">
        <v>116</v>
      </c>
      <c r="E155" s="27" t="s">
        <v>135</v>
      </c>
      <c r="F155" s="26" t="s">
        <v>26</v>
      </c>
      <c r="G155" s="26" t="s">
        <v>27</v>
      </c>
      <c r="H155" s="26" t="s">
        <v>512</v>
      </c>
      <c r="I155" s="26" t="s">
        <v>36</v>
      </c>
      <c r="J155" s="26" t="s">
        <v>118</v>
      </c>
      <c r="K155" s="26">
        <v>3413465</v>
      </c>
      <c r="L155" s="26" t="s">
        <v>30</v>
      </c>
      <c r="M155" s="26" t="s">
        <v>513</v>
      </c>
      <c r="N155" s="27" t="s">
        <v>514</v>
      </c>
      <c r="O155" s="28">
        <v>45996</v>
      </c>
      <c r="P155" s="26">
        <v>200</v>
      </c>
      <c r="Q155" s="29" t="s">
        <v>31</v>
      </c>
      <c r="R155" s="30">
        <v>8.5500000000000007</v>
      </c>
      <c r="S155" s="29" t="str">
        <f t="shared" si="20"/>
        <v>-</v>
      </c>
      <c r="T155" s="30">
        <f t="shared" si="21"/>
        <v>1710.0000000000002</v>
      </c>
      <c r="U155" s="34">
        <v>46097</v>
      </c>
      <c r="V155" s="34" t="s">
        <v>31</v>
      </c>
      <c r="W155" s="33"/>
      <c r="X155" s="36" t="s">
        <v>32</v>
      </c>
      <c r="Y155" s="33" t="s">
        <v>634</v>
      </c>
      <c r="Z155" s="33" t="s">
        <v>632</v>
      </c>
      <c r="AA155" s="33" t="s">
        <v>636</v>
      </c>
      <c r="AB155" s="33" t="s">
        <v>628</v>
      </c>
    </row>
    <row r="156" spans="1:28" ht="30">
      <c r="A156" s="12" t="str">
        <f>IF('FY_25-26'!$D156="","",IF(OR('FY_25-26'!$D156="BOOHOO LADIES",'FY_25-26'!$D156="PLT",'FY_25-26'!$D156="KM"),"BUSINESS UNIT 1 - KIRAN","BUSINESS UNIT 2 - SHIFALI"))</f>
        <v>BUSINESS UNIT 2 - SHIFALI</v>
      </c>
      <c r="B156" s="26">
        <f>IF('FY_25-26'!$C156&lt;&gt;"",ROW()-ROW($B$2),"")</f>
        <v>154</v>
      </c>
      <c r="C156" s="26" t="s">
        <v>37</v>
      </c>
      <c r="D156" s="26" t="s">
        <v>116</v>
      </c>
      <c r="E156" s="27" t="s">
        <v>135</v>
      </c>
      <c r="F156" s="26" t="s">
        <v>26</v>
      </c>
      <c r="G156" s="26" t="s">
        <v>27</v>
      </c>
      <c r="H156" s="26" t="s">
        <v>515</v>
      </c>
      <c r="I156" s="26" t="s">
        <v>36</v>
      </c>
      <c r="J156" s="26" t="s">
        <v>123</v>
      </c>
      <c r="K156" s="26">
        <v>3413467</v>
      </c>
      <c r="L156" s="26" t="s">
        <v>30</v>
      </c>
      <c r="M156" s="26" t="s">
        <v>516</v>
      </c>
      <c r="N156" s="27" t="s">
        <v>517</v>
      </c>
      <c r="O156" s="28">
        <v>45996</v>
      </c>
      <c r="P156" s="26">
        <v>200</v>
      </c>
      <c r="Q156" s="29" t="s">
        <v>31</v>
      </c>
      <c r="R156" s="30">
        <v>8.5500000000000007</v>
      </c>
      <c r="S156" s="29" t="str">
        <f t="shared" si="20"/>
        <v>-</v>
      </c>
      <c r="T156" s="30">
        <f t="shared" si="21"/>
        <v>1710.0000000000002</v>
      </c>
      <c r="U156" s="34">
        <v>46097</v>
      </c>
      <c r="V156" s="34" t="s">
        <v>31</v>
      </c>
      <c r="W156" s="33"/>
      <c r="X156" s="36" t="s">
        <v>32</v>
      </c>
      <c r="Y156" s="33" t="s">
        <v>634</v>
      </c>
      <c r="Z156" s="33" t="s">
        <v>632</v>
      </c>
      <c r="AA156" s="33" t="s">
        <v>636</v>
      </c>
      <c r="AB156" s="33" t="s">
        <v>628</v>
      </c>
    </row>
    <row r="157" spans="1:28" ht="30">
      <c r="A157" s="12" t="str">
        <f>IF('FY_25-26'!$D157="","",IF(OR('FY_25-26'!$D157="BOOHOO LADIES",'FY_25-26'!$D157="PLT",'FY_25-26'!$D157="KM"),"BUSINESS UNIT 1 - KIRAN","BUSINESS UNIT 2 - SHIFALI"))</f>
        <v>BUSINESS UNIT 2 - SHIFALI</v>
      </c>
      <c r="B157" s="26">
        <f>IF('FY_25-26'!$C157&lt;&gt;"",ROW()-ROW($B$2),"")</f>
        <v>155</v>
      </c>
      <c r="C157" s="26" t="s">
        <v>37</v>
      </c>
      <c r="D157" s="26" t="s">
        <v>116</v>
      </c>
      <c r="E157" s="27" t="s">
        <v>135</v>
      </c>
      <c r="F157" s="26" t="s">
        <v>26</v>
      </c>
      <c r="G157" s="26" t="s">
        <v>27</v>
      </c>
      <c r="H157" s="26" t="s">
        <v>518</v>
      </c>
      <c r="I157" s="26" t="s">
        <v>36</v>
      </c>
      <c r="J157" s="26" t="s">
        <v>69</v>
      </c>
      <c r="K157" s="26">
        <v>3413473</v>
      </c>
      <c r="L157" s="26" t="s">
        <v>30</v>
      </c>
      <c r="M157" s="26" t="s">
        <v>519</v>
      </c>
      <c r="N157" s="27" t="s">
        <v>520</v>
      </c>
      <c r="O157" s="28">
        <v>45996</v>
      </c>
      <c r="P157" s="26">
        <v>200</v>
      </c>
      <c r="Q157" s="29" t="s">
        <v>31</v>
      </c>
      <c r="R157" s="30">
        <v>9.35</v>
      </c>
      <c r="S157" s="29" t="str">
        <f t="shared" si="20"/>
        <v>-</v>
      </c>
      <c r="T157" s="30">
        <f t="shared" si="21"/>
        <v>1870</v>
      </c>
      <c r="U157" s="34">
        <v>46111</v>
      </c>
      <c r="V157" s="34" t="s">
        <v>31</v>
      </c>
      <c r="W157" s="33"/>
      <c r="X157" s="36" t="s">
        <v>32</v>
      </c>
      <c r="Y157" s="33" t="s">
        <v>634</v>
      </c>
      <c r="Z157" s="33" t="s">
        <v>632</v>
      </c>
      <c r="AA157" s="33" t="s">
        <v>636</v>
      </c>
      <c r="AB157" s="33" t="s">
        <v>628</v>
      </c>
    </row>
    <row r="158" spans="1:28" ht="24">
      <c r="A158" s="12" t="str">
        <f>IF('FY_25-26'!$D158="","",IF(OR('FY_25-26'!$D158="BOOHOO LADIES",'FY_25-26'!$D158="PLT",'FY_25-26'!$D158="KM"),"BUSINESS UNIT 1 - KIRAN","BUSINESS UNIT 2 - SHIFALI"))</f>
        <v>BUSINESS UNIT 2 - SHIFALI</v>
      </c>
      <c r="B158" s="26">
        <f>IF('FY_25-26'!$C158&lt;&gt;"",ROW()-ROW($B$2),"")</f>
        <v>156</v>
      </c>
      <c r="C158" s="26" t="s">
        <v>37</v>
      </c>
      <c r="D158" s="26" t="s">
        <v>116</v>
      </c>
      <c r="E158" s="27" t="s">
        <v>135</v>
      </c>
      <c r="F158" s="26" t="s">
        <v>26</v>
      </c>
      <c r="G158" s="26" t="s">
        <v>27</v>
      </c>
      <c r="H158" s="26" t="s">
        <v>521</v>
      </c>
      <c r="I158" s="26" t="s">
        <v>36</v>
      </c>
      <c r="J158" s="26" t="s">
        <v>69</v>
      </c>
      <c r="K158" s="26">
        <v>3413474</v>
      </c>
      <c r="L158" s="26" t="s">
        <v>30</v>
      </c>
      <c r="M158" s="26" t="s">
        <v>522</v>
      </c>
      <c r="N158" s="27" t="s">
        <v>523</v>
      </c>
      <c r="O158" s="28">
        <v>45996</v>
      </c>
      <c r="P158" s="26">
        <v>200</v>
      </c>
      <c r="Q158" s="29" t="s">
        <v>31</v>
      </c>
      <c r="R158" s="30">
        <v>8.9</v>
      </c>
      <c r="S158" s="29" t="str">
        <f t="shared" si="20"/>
        <v>-</v>
      </c>
      <c r="T158" s="30">
        <f t="shared" si="21"/>
        <v>1780</v>
      </c>
      <c r="U158" s="34">
        <v>46111</v>
      </c>
      <c r="V158" s="34" t="s">
        <v>31</v>
      </c>
      <c r="W158" s="33"/>
      <c r="X158" s="36" t="s">
        <v>32</v>
      </c>
      <c r="Y158" s="33" t="s">
        <v>634</v>
      </c>
      <c r="Z158" s="33" t="s">
        <v>632</v>
      </c>
      <c r="AA158" s="33" t="s">
        <v>636</v>
      </c>
      <c r="AB158" s="33" t="s">
        <v>628</v>
      </c>
    </row>
    <row r="159" spans="1:28" ht="24">
      <c r="A159" s="12" t="str">
        <f>IF('FY_25-26'!$D159="","",IF(OR('FY_25-26'!$D159="BOOHOO LADIES",'FY_25-26'!$D159="PLT",'FY_25-26'!$D159="KM"),"BUSINESS UNIT 1 - KIRAN","BUSINESS UNIT 2 - SHIFALI"))</f>
        <v>BUSINESS UNIT 2 - SHIFALI</v>
      </c>
      <c r="B159" s="26">
        <f>IF('FY_25-26'!$C159&lt;&gt;"",ROW()-ROW($B$2),"")</f>
        <v>157</v>
      </c>
      <c r="C159" s="26" t="s">
        <v>37</v>
      </c>
      <c r="D159" s="26" t="s">
        <v>116</v>
      </c>
      <c r="E159" s="27" t="s">
        <v>135</v>
      </c>
      <c r="F159" s="26" t="s">
        <v>26</v>
      </c>
      <c r="G159" s="26" t="s">
        <v>27</v>
      </c>
      <c r="H159" s="26" t="s">
        <v>524</v>
      </c>
      <c r="I159" s="26" t="s">
        <v>36</v>
      </c>
      <c r="J159" s="26" t="s">
        <v>43</v>
      </c>
      <c r="K159" s="26">
        <v>3413475</v>
      </c>
      <c r="L159" s="26" t="s">
        <v>30</v>
      </c>
      <c r="M159" s="26" t="s">
        <v>525</v>
      </c>
      <c r="N159" s="27" t="s">
        <v>526</v>
      </c>
      <c r="O159" s="28">
        <v>45996</v>
      </c>
      <c r="P159" s="26">
        <v>200</v>
      </c>
      <c r="Q159" s="29" t="s">
        <v>31</v>
      </c>
      <c r="R159" s="30">
        <v>11.14</v>
      </c>
      <c r="S159" s="29" t="str">
        <f t="shared" si="20"/>
        <v>-</v>
      </c>
      <c r="T159" s="30">
        <f t="shared" si="21"/>
        <v>2228</v>
      </c>
      <c r="U159" s="34">
        <v>46111</v>
      </c>
      <c r="V159" s="34" t="s">
        <v>31</v>
      </c>
      <c r="W159" s="33"/>
      <c r="X159" s="36" t="s">
        <v>32</v>
      </c>
      <c r="Y159" s="33" t="s">
        <v>634</v>
      </c>
      <c r="Z159" s="33" t="s">
        <v>632</v>
      </c>
      <c r="AA159" s="33" t="s">
        <v>636</v>
      </c>
      <c r="AB159" s="33" t="s">
        <v>628</v>
      </c>
    </row>
    <row r="160" spans="1:28" ht="30">
      <c r="A160" s="12" t="str">
        <f>IF('FY_25-26'!$D160="","",IF(OR('FY_25-26'!$D160="BOOHOO LADIES",'FY_25-26'!$D160="PLT",'FY_25-26'!$D160="KM"),"BUSINESS UNIT 1 - KIRAN","BUSINESS UNIT 2 - SHIFALI"))</f>
        <v>BUSINESS UNIT 2 - SHIFALI</v>
      </c>
      <c r="B160" s="26">
        <f>IF('FY_25-26'!$C160&lt;&gt;"",ROW()-ROW($B$2),"")</f>
        <v>158</v>
      </c>
      <c r="C160" s="26" t="s">
        <v>37</v>
      </c>
      <c r="D160" s="26" t="s">
        <v>116</v>
      </c>
      <c r="E160" s="27" t="s">
        <v>135</v>
      </c>
      <c r="F160" s="26" t="s">
        <v>26</v>
      </c>
      <c r="G160" s="26" t="s">
        <v>27</v>
      </c>
      <c r="H160" s="26" t="s">
        <v>527</v>
      </c>
      <c r="I160" s="26" t="s">
        <v>36</v>
      </c>
      <c r="J160" s="26" t="s">
        <v>123</v>
      </c>
      <c r="K160" s="26">
        <v>3413477</v>
      </c>
      <c r="L160" s="26" t="s">
        <v>30</v>
      </c>
      <c r="M160" s="26" t="s">
        <v>528</v>
      </c>
      <c r="N160" s="27" t="s">
        <v>517</v>
      </c>
      <c r="O160" s="28">
        <v>45996</v>
      </c>
      <c r="P160" s="26">
        <v>200</v>
      </c>
      <c r="Q160" s="29" t="s">
        <v>31</v>
      </c>
      <c r="R160" s="30">
        <v>9.57</v>
      </c>
      <c r="S160" s="29" t="str">
        <f t="shared" si="20"/>
        <v>-</v>
      </c>
      <c r="T160" s="30">
        <f t="shared" si="21"/>
        <v>1914</v>
      </c>
      <c r="U160" s="34">
        <v>46097</v>
      </c>
      <c r="V160" s="34" t="s">
        <v>31</v>
      </c>
      <c r="W160" s="33"/>
      <c r="X160" s="36" t="s">
        <v>32</v>
      </c>
      <c r="Y160" s="33" t="s">
        <v>634</v>
      </c>
      <c r="Z160" s="33" t="s">
        <v>632</v>
      </c>
      <c r="AA160" s="33" t="s">
        <v>636</v>
      </c>
      <c r="AB160" s="33" t="s">
        <v>628</v>
      </c>
    </row>
    <row r="161" spans="1:28" ht="30">
      <c r="A161" s="12" t="str">
        <f>IF('FY_25-26'!$D161="","",IF(OR('FY_25-26'!$D161="BOOHOO LADIES",'FY_25-26'!$D161="PLT",'FY_25-26'!$D161="KM"),"BUSINESS UNIT 1 - KIRAN","BUSINESS UNIT 2 - SHIFALI"))</f>
        <v>BUSINESS UNIT 2 - SHIFALI</v>
      </c>
      <c r="B161" s="26">
        <f>IF('FY_25-26'!$C161&lt;&gt;"",ROW()-ROW($B$2),"")</f>
        <v>159</v>
      </c>
      <c r="C161" s="26" t="s">
        <v>37</v>
      </c>
      <c r="D161" s="26" t="s">
        <v>116</v>
      </c>
      <c r="E161" s="27" t="s">
        <v>135</v>
      </c>
      <c r="F161" s="26" t="s">
        <v>26</v>
      </c>
      <c r="G161" s="26" t="s">
        <v>27</v>
      </c>
      <c r="H161" s="26" t="s">
        <v>529</v>
      </c>
      <c r="I161" s="26" t="s">
        <v>36</v>
      </c>
      <c r="J161" s="26" t="s">
        <v>63</v>
      </c>
      <c r="K161" s="26">
        <v>3413476</v>
      </c>
      <c r="L161" s="26" t="s">
        <v>30</v>
      </c>
      <c r="M161" s="26" t="s">
        <v>530</v>
      </c>
      <c r="N161" s="27" t="s">
        <v>531</v>
      </c>
      <c r="O161" s="28">
        <v>45996</v>
      </c>
      <c r="P161" s="26">
        <v>200</v>
      </c>
      <c r="Q161" s="29" t="s">
        <v>31</v>
      </c>
      <c r="R161" s="30">
        <v>9.57</v>
      </c>
      <c r="S161" s="29" t="str">
        <f t="shared" si="20"/>
        <v>-</v>
      </c>
      <c r="T161" s="30">
        <f t="shared" si="21"/>
        <v>1914</v>
      </c>
      <c r="U161" s="34">
        <v>46097</v>
      </c>
      <c r="V161" s="34" t="s">
        <v>31</v>
      </c>
      <c r="W161" s="33"/>
      <c r="X161" s="36" t="s">
        <v>32</v>
      </c>
      <c r="Y161" s="33" t="s">
        <v>634</v>
      </c>
      <c r="Z161" s="33" t="s">
        <v>632</v>
      </c>
      <c r="AA161" s="33" t="s">
        <v>636</v>
      </c>
      <c r="AB161" s="33" t="s">
        <v>628</v>
      </c>
    </row>
    <row r="162" spans="1:28" ht="24">
      <c r="A162" s="12" t="str">
        <f>IF('FY_25-26'!$D162="","",IF(OR('FY_25-26'!$D162="BOOHOO LADIES",'FY_25-26'!$D162="PLT",'FY_25-26'!$D162="KM"),"BUSINESS UNIT 1 - KIRAN","BUSINESS UNIT 2 - SHIFALI"))</f>
        <v>BUSINESS UNIT 2 - SHIFALI</v>
      </c>
      <c r="B162" s="26">
        <f>IF('FY_25-26'!$C162&lt;&gt;"",ROW()-ROW($B$2),"")</f>
        <v>160</v>
      </c>
      <c r="C162" s="26" t="s">
        <v>146</v>
      </c>
      <c r="D162" s="26" t="s">
        <v>34</v>
      </c>
      <c r="E162" s="27" t="s">
        <v>35</v>
      </c>
      <c r="F162" s="26" t="s">
        <v>26</v>
      </c>
      <c r="G162" s="26" t="s">
        <v>27</v>
      </c>
      <c r="H162" s="26" t="s">
        <v>532</v>
      </c>
      <c r="I162" s="26" t="s">
        <v>36</v>
      </c>
      <c r="J162" s="26" t="s">
        <v>41</v>
      </c>
      <c r="K162" s="26">
        <v>3413504</v>
      </c>
      <c r="L162" s="26" t="s">
        <v>30</v>
      </c>
      <c r="M162" s="26" t="s">
        <v>533</v>
      </c>
      <c r="N162" s="27" t="s">
        <v>534</v>
      </c>
      <c r="O162" s="28">
        <v>45996</v>
      </c>
      <c r="P162" s="26">
        <v>100</v>
      </c>
      <c r="Q162" s="29" t="s">
        <v>31</v>
      </c>
      <c r="R162" s="30">
        <v>30.5</v>
      </c>
      <c r="S162" s="29" t="str">
        <f t="shared" si="20"/>
        <v>-</v>
      </c>
      <c r="T162" s="30">
        <f t="shared" si="21"/>
        <v>3050</v>
      </c>
      <c r="U162" s="34">
        <v>46083</v>
      </c>
      <c r="V162" s="34" t="s">
        <v>31</v>
      </c>
      <c r="W162" s="33"/>
      <c r="X162" s="36" t="s">
        <v>32</v>
      </c>
      <c r="Y162" s="33" t="s">
        <v>634</v>
      </c>
      <c r="Z162" s="33" t="s">
        <v>632</v>
      </c>
      <c r="AA162" s="33" t="s">
        <v>636</v>
      </c>
      <c r="AB162" s="33" t="s">
        <v>628</v>
      </c>
    </row>
    <row r="163" spans="1:28" ht="24">
      <c r="A163" s="10" t="str">
        <f>IF('FY_25-26'!$D163="","",IF(OR('FY_25-26'!$D163="BOOHOO LADIES",'FY_25-26'!$D163="PLT",'FY_25-26'!$D163="KM"),"BUSINESS UNIT 1 - KIRAN","BUSINESS UNIT 2 - SHIFALI"))</f>
        <v>BUSINESS UNIT 2 - SHIFALI</v>
      </c>
      <c r="B163" s="26">
        <f>IF('FY_25-26'!$C163&lt;&gt;"",ROW()-ROW($B$2),"")</f>
        <v>161</v>
      </c>
      <c r="C163" s="26" t="s">
        <v>170</v>
      </c>
      <c r="D163" s="26" t="s">
        <v>535</v>
      </c>
      <c r="E163" s="27" t="s">
        <v>536</v>
      </c>
      <c r="F163" s="26" t="s">
        <v>26</v>
      </c>
      <c r="G163" s="26" t="s">
        <v>27</v>
      </c>
      <c r="H163" s="26" t="s">
        <v>537</v>
      </c>
      <c r="I163" s="26" t="s">
        <v>36</v>
      </c>
      <c r="J163" s="26" t="s">
        <v>43</v>
      </c>
      <c r="K163" s="26">
        <v>3413556</v>
      </c>
      <c r="L163" s="26" t="s">
        <v>30</v>
      </c>
      <c r="M163" s="26" t="s">
        <v>538</v>
      </c>
      <c r="N163" s="27" t="s">
        <v>539</v>
      </c>
      <c r="O163" s="28">
        <v>45996</v>
      </c>
      <c r="P163" s="26">
        <v>100</v>
      </c>
      <c r="Q163" s="29">
        <v>41.5</v>
      </c>
      <c r="R163" s="30" t="s">
        <v>31</v>
      </c>
      <c r="S163" s="29">
        <f t="shared" si="20"/>
        <v>4150</v>
      </c>
      <c r="T163" s="30" t="str">
        <f t="shared" si="21"/>
        <v>-</v>
      </c>
      <c r="U163" s="34">
        <v>46062</v>
      </c>
      <c r="V163" s="34">
        <v>46073</v>
      </c>
      <c r="W163" s="33"/>
      <c r="X163" s="36" t="s">
        <v>40</v>
      </c>
      <c r="Y163" s="33" t="s">
        <v>635</v>
      </c>
      <c r="Z163" s="33" t="s">
        <v>632</v>
      </c>
      <c r="AA163" s="33" t="s">
        <v>636</v>
      </c>
      <c r="AB163" s="33" t="s">
        <v>628</v>
      </c>
    </row>
    <row r="164" spans="1:28" ht="24">
      <c r="A164" s="10" t="str">
        <f>IF('FY_25-26'!$D164="","",IF(OR('FY_25-26'!$D164="BOOHOO LADIES",'FY_25-26'!$D164="PLT",'FY_25-26'!$D164="KM"),"BUSINESS UNIT 1 - KIRAN","BUSINESS UNIT 2 - SHIFALI"))</f>
        <v>BUSINESS UNIT 2 - SHIFALI</v>
      </c>
      <c r="B164" s="26">
        <f>IF('FY_25-26'!$C164&lt;&gt;"",ROW()-ROW($B$2),"")</f>
        <v>162</v>
      </c>
      <c r="C164" s="26" t="s">
        <v>37</v>
      </c>
      <c r="D164" s="26" t="s">
        <v>116</v>
      </c>
      <c r="E164" s="27" t="s">
        <v>135</v>
      </c>
      <c r="F164" s="26" t="s">
        <v>26</v>
      </c>
      <c r="G164" s="26" t="s">
        <v>27</v>
      </c>
      <c r="H164" s="26" t="s">
        <v>540</v>
      </c>
      <c r="I164" s="26" t="s">
        <v>36</v>
      </c>
      <c r="J164" s="26" t="s">
        <v>118</v>
      </c>
      <c r="K164" s="26">
        <v>3413621</v>
      </c>
      <c r="L164" s="26" t="s">
        <v>30</v>
      </c>
      <c r="M164" s="26" t="s">
        <v>541</v>
      </c>
      <c r="N164" s="27" t="s">
        <v>542</v>
      </c>
      <c r="O164" s="28">
        <v>45996</v>
      </c>
      <c r="P164" s="26">
        <v>200</v>
      </c>
      <c r="Q164" s="29" t="s">
        <v>31</v>
      </c>
      <c r="R164" s="30">
        <v>9.9499999999999993</v>
      </c>
      <c r="S164" s="29" t="str">
        <f t="shared" ref="S164:S171" si="22">IF($Q164="","",IF($Q164="-","-",$P164*$Q164))</f>
        <v>-</v>
      </c>
      <c r="T164" s="30">
        <f t="shared" ref="T164:T171" si="23">IF($R164="","",IF($R164="-","-",$P164*$R164))</f>
        <v>1989.9999999999998</v>
      </c>
      <c r="U164" s="34">
        <v>46111</v>
      </c>
      <c r="V164" s="34" t="s">
        <v>31</v>
      </c>
      <c r="W164" s="33"/>
      <c r="X164" s="36" t="s">
        <v>32</v>
      </c>
      <c r="Y164" s="33" t="s">
        <v>634</v>
      </c>
      <c r="Z164" s="33" t="s">
        <v>632</v>
      </c>
      <c r="AA164" s="33" t="s">
        <v>636</v>
      </c>
      <c r="AB164" s="33" t="s">
        <v>628</v>
      </c>
    </row>
    <row r="165" spans="1:28" ht="24">
      <c r="A165" s="10" t="str">
        <f>IF('FY_25-26'!$D165="","",IF(OR('FY_25-26'!$D165="BOOHOO LADIES",'FY_25-26'!$D165="PLT",'FY_25-26'!$D165="KM"),"BUSINESS UNIT 1 - KIRAN","BUSINESS UNIT 2 - SHIFALI"))</f>
        <v>BUSINESS UNIT 2 - SHIFALI</v>
      </c>
      <c r="B165" s="26">
        <f>IF('FY_25-26'!$C165&lt;&gt;"",ROW()-ROW($B$2),"")</f>
        <v>163</v>
      </c>
      <c r="C165" s="26" t="s">
        <v>87</v>
      </c>
      <c r="D165" s="26" t="s">
        <v>141</v>
      </c>
      <c r="E165" s="27" t="s">
        <v>258</v>
      </c>
      <c r="F165" s="26" t="s">
        <v>26</v>
      </c>
      <c r="G165" s="26" t="s">
        <v>27</v>
      </c>
      <c r="H165" s="26" t="s">
        <v>543</v>
      </c>
      <c r="I165" s="26" t="s">
        <v>36</v>
      </c>
      <c r="J165" s="26" t="s">
        <v>128</v>
      </c>
      <c r="K165" s="26">
        <v>3413856</v>
      </c>
      <c r="L165" s="26" t="s">
        <v>30</v>
      </c>
      <c r="M165" s="26" t="s">
        <v>544</v>
      </c>
      <c r="N165" s="27" t="s">
        <v>545</v>
      </c>
      <c r="O165" s="28">
        <v>45999</v>
      </c>
      <c r="P165" s="26">
        <v>100</v>
      </c>
      <c r="Q165" s="29" t="s">
        <v>31</v>
      </c>
      <c r="R165" s="30">
        <v>31.5</v>
      </c>
      <c r="S165" s="29" t="str">
        <f t="shared" si="22"/>
        <v>-</v>
      </c>
      <c r="T165" s="30">
        <f t="shared" si="23"/>
        <v>3150</v>
      </c>
      <c r="U165" s="34">
        <v>46066</v>
      </c>
      <c r="V165" s="34" t="s">
        <v>31</v>
      </c>
      <c r="W165" s="33"/>
      <c r="X165" s="36" t="s">
        <v>32</v>
      </c>
      <c r="Y165" s="33" t="s">
        <v>634</v>
      </c>
      <c r="Z165" s="33" t="s">
        <v>632</v>
      </c>
      <c r="AA165" s="33" t="s">
        <v>636</v>
      </c>
      <c r="AB165" s="33" t="s">
        <v>628</v>
      </c>
    </row>
    <row r="166" spans="1:28" ht="30">
      <c r="A166" s="12" t="str">
        <f>IF('FY_25-26'!$D166="","",IF(OR('FY_25-26'!$D166="BOOHOO LADIES",'FY_25-26'!$D166="PLT",'FY_25-26'!$D166="KM"),"BUSINESS UNIT 1 - KIRAN","BUSINESS UNIT 2 - SHIFALI"))</f>
        <v>BUSINESS UNIT 2 - SHIFALI</v>
      </c>
      <c r="B166" s="26">
        <f>IF('FY_25-26'!$C166&lt;&gt;"",ROW()-ROW($B$2),"")</f>
        <v>164</v>
      </c>
      <c r="C166" s="26" t="s">
        <v>139</v>
      </c>
      <c r="D166" s="26" t="s">
        <v>116</v>
      </c>
      <c r="E166" s="27" t="s">
        <v>117</v>
      </c>
      <c r="F166" s="26" t="s">
        <v>26</v>
      </c>
      <c r="G166" s="26" t="s">
        <v>27</v>
      </c>
      <c r="H166" s="26" t="s">
        <v>546</v>
      </c>
      <c r="I166" s="26" t="s">
        <v>36</v>
      </c>
      <c r="J166" s="26" t="s">
        <v>100</v>
      </c>
      <c r="K166" s="26">
        <v>3413919</v>
      </c>
      <c r="L166" s="26" t="s">
        <v>30</v>
      </c>
      <c r="M166" s="26" t="s">
        <v>547</v>
      </c>
      <c r="N166" s="27" t="s">
        <v>548</v>
      </c>
      <c r="O166" s="28">
        <v>45999</v>
      </c>
      <c r="P166" s="26">
        <v>109</v>
      </c>
      <c r="Q166" s="29">
        <v>12.5</v>
      </c>
      <c r="R166" s="30" t="s">
        <v>31</v>
      </c>
      <c r="S166" s="29">
        <f t="shared" si="22"/>
        <v>1362.5</v>
      </c>
      <c r="T166" s="30" t="str">
        <f t="shared" si="23"/>
        <v>-</v>
      </c>
      <c r="U166" s="34">
        <v>46042</v>
      </c>
      <c r="V166" s="34" t="s">
        <v>31</v>
      </c>
      <c r="W166" s="33"/>
      <c r="X166" s="36" t="s">
        <v>40</v>
      </c>
      <c r="Y166" s="33" t="s">
        <v>635</v>
      </c>
      <c r="Z166" s="33" t="s">
        <v>632</v>
      </c>
      <c r="AA166" s="33" t="s">
        <v>636</v>
      </c>
      <c r="AB166" s="33" t="s">
        <v>628</v>
      </c>
    </row>
    <row r="167" spans="1:28" ht="24">
      <c r="A167" s="12" t="str">
        <f>IF('FY_25-26'!$D167="","",IF(OR('FY_25-26'!$D167="BOOHOO LADIES",'FY_25-26'!$D167="PLT",'FY_25-26'!$D167="KM"),"BUSINESS UNIT 1 - KIRAN","BUSINESS UNIT 2 - SHIFALI"))</f>
        <v>BUSINESS UNIT 2 - SHIFALI</v>
      </c>
      <c r="B167" s="26">
        <f>IF('FY_25-26'!$C167&lt;&gt;"",ROW()-ROW($B$2),"")</f>
        <v>165</v>
      </c>
      <c r="C167" s="26" t="s">
        <v>139</v>
      </c>
      <c r="D167" s="26" t="s">
        <v>116</v>
      </c>
      <c r="E167" s="27" t="s">
        <v>117</v>
      </c>
      <c r="F167" s="26" t="s">
        <v>26</v>
      </c>
      <c r="G167" s="26" t="s">
        <v>27</v>
      </c>
      <c r="H167" s="26" t="s">
        <v>549</v>
      </c>
      <c r="I167" s="26" t="s">
        <v>36</v>
      </c>
      <c r="J167" s="26" t="s">
        <v>43</v>
      </c>
      <c r="K167" s="26">
        <v>3413918</v>
      </c>
      <c r="L167" s="26" t="s">
        <v>30</v>
      </c>
      <c r="M167" s="26" t="s">
        <v>550</v>
      </c>
      <c r="N167" s="27" t="s">
        <v>551</v>
      </c>
      <c r="O167" s="28">
        <v>45999</v>
      </c>
      <c r="P167" s="26">
        <v>106</v>
      </c>
      <c r="Q167" s="29">
        <v>12.5</v>
      </c>
      <c r="R167" s="30" t="s">
        <v>31</v>
      </c>
      <c r="S167" s="29">
        <f t="shared" si="22"/>
        <v>1325</v>
      </c>
      <c r="T167" s="30" t="str">
        <f t="shared" si="23"/>
        <v>-</v>
      </c>
      <c r="U167" s="34">
        <v>46042</v>
      </c>
      <c r="V167" s="34" t="s">
        <v>31</v>
      </c>
      <c r="W167" s="33"/>
      <c r="X167" s="36" t="s">
        <v>40</v>
      </c>
      <c r="Y167" s="33" t="s">
        <v>635</v>
      </c>
      <c r="Z167" s="33" t="s">
        <v>632</v>
      </c>
      <c r="AA167" s="33" t="s">
        <v>636</v>
      </c>
      <c r="AB167" s="33" t="s">
        <v>628</v>
      </c>
    </row>
    <row r="168" spans="1:28" ht="30">
      <c r="A168" s="10" t="str">
        <f>IF('FY_25-26'!$D168="","",IF(OR('FY_25-26'!$D168="BOOHOO LADIES",'FY_25-26'!$D168="PLT",'FY_25-26'!$D168="KM"),"BUSINESS UNIT 1 - KIRAN","BUSINESS UNIT 2 - SHIFALI"))</f>
        <v>BUSINESS UNIT 1 - KIRAN</v>
      </c>
      <c r="B168" s="26">
        <f>IF('FY_25-26'!$C168&lt;&gt;"",ROW()-ROW($B$2),"")</f>
        <v>166</v>
      </c>
      <c r="C168" s="26" t="s">
        <v>386</v>
      </c>
      <c r="D168" s="26" t="s">
        <v>71</v>
      </c>
      <c r="E168" s="27" t="s">
        <v>492</v>
      </c>
      <c r="F168" s="26" t="s">
        <v>26</v>
      </c>
      <c r="G168" s="26" t="s">
        <v>27</v>
      </c>
      <c r="H168" s="26" t="s">
        <v>493</v>
      </c>
      <c r="I168" s="26" t="s">
        <v>36</v>
      </c>
      <c r="J168" s="26" t="s">
        <v>124</v>
      </c>
      <c r="K168" s="26">
        <v>70026694</v>
      </c>
      <c r="L168" s="26" t="s">
        <v>30</v>
      </c>
      <c r="M168" s="26" t="s">
        <v>494</v>
      </c>
      <c r="N168" s="27" t="s">
        <v>552</v>
      </c>
      <c r="O168" s="28">
        <v>45999</v>
      </c>
      <c r="P168" s="26">
        <v>300</v>
      </c>
      <c r="Q168" s="29" t="s">
        <v>31</v>
      </c>
      <c r="R168" s="30">
        <v>6.35</v>
      </c>
      <c r="S168" s="29" t="str">
        <f t="shared" si="22"/>
        <v>-</v>
      </c>
      <c r="T168" s="30">
        <f t="shared" si="23"/>
        <v>1905</v>
      </c>
      <c r="U168" s="34">
        <v>46132</v>
      </c>
      <c r="V168" s="34" t="s">
        <v>31</v>
      </c>
      <c r="W168" s="33"/>
      <c r="X168" s="36" t="s">
        <v>40</v>
      </c>
      <c r="Y168" s="33" t="s">
        <v>635</v>
      </c>
      <c r="Z168" s="33" t="s">
        <v>632</v>
      </c>
      <c r="AA168" s="33" t="s">
        <v>636</v>
      </c>
      <c r="AB168" s="33" t="s">
        <v>628</v>
      </c>
    </row>
    <row r="169" spans="1:28" ht="30">
      <c r="A169" s="12" t="str">
        <f>IF('FY_25-26'!$D169="","",IF(OR('FY_25-26'!$D169="BOOHOO LADIES",'FY_25-26'!$D169="PLT",'FY_25-26'!$D169="KM"),"BUSINESS UNIT 1 - KIRAN","BUSINESS UNIT 2 - SHIFALI"))</f>
        <v>BUSINESS UNIT 1 - KIRAN</v>
      </c>
      <c r="B169" s="26">
        <f>IF('FY_25-26'!$C169&lt;&gt;"",ROW()-ROW($B$2),"")</f>
        <v>167</v>
      </c>
      <c r="C169" s="26" t="s">
        <v>386</v>
      </c>
      <c r="D169" s="26" t="s">
        <v>71</v>
      </c>
      <c r="E169" s="27" t="s">
        <v>492</v>
      </c>
      <c r="F169" s="26" t="s">
        <v>26</v>
      </c>
      <c r="G169" s="26" t="s">
        <v>27</v>
      </c>
      <c r="H169" s="26" t="s">
        <v>495</v>
      </c>
      <c r="I169" s="26" t="s">
        <v>36</v>
      </c>
      <c r="J169" s="26" t="s">
        <v>138</v>
      </c>
      <c r="K169" s="26">
        <v>70026682</v>
      </c>
      <c r="L169" s="26" t="s">
        <v>30</v>
      </c>
      <c r="M169" s="26" t="s">
        <v>494</v>
      </c>
      <c r="N169" s="27" t="s">
        <v>553</v>
      </c>
      <c r="O169" s="28">
        <v>45999</v>
      </c>
      <c r="P169" s="26">
        <v>245</v>
      </c>
      <c r="Q169" s="29" t="s">
        <v>31</v>
      </c>
      <c r="R169" s="30">
        <v>6.35</v>
      </c>
      <c r="S169" s="29" t="str">
        <f t="shared" si="22"/>
        <v>-</v>
      </c>
      <c r="T169" s="30">
        <f t="shared" si="23"/>
        <v>1555.75</v>
      </c>
      <c r="U169" s="34">
        <v>46132</v>
      </c>
      <c r="V169" s="34" t="s">
        <v>31</v>
      </c>
      <c r="W169" s="33"/>
      <c r="X169" s="36" t="s">
        <v>40</v>
      </c>
      <c r="Y169" s="33" t="s">
        <v>635</v>
      </c>
      <c r="Z169" s="33" t="s">
        <v>632</v>
      </c>
      <c r="AA169" s="33" t="s">
        <v>636</v>
      </c>
      <c r="AB169" s="33" t="s">
        <v>628</v>
      </c>
    </row>
    <row r="170" spans="1:28" ht="30">
      <c r="A170" s="12" t="str">
        <f>IF('FY_25-26'!$D170="","",IF(OR('FY_25-26'!$D170="BOOHOO LADIES",'FY_25-26'!$D170="PLT",'FY_25-26'!$D170="KM"),"BUSINESS UNIT 1 - KIRAN","BUSINESS UNIT 2 - SHIFALI"))</f>
        <v>BUSINESS UNIT 1 - KIRAN</v>
      </c>
      <c r="B170" s="26">
        <f>IF('FY_25-26'!$C170&lt;&gt;"",ROW()-ROW($B$2),"")</f>
        <v>168</v>
      </c>
      <c r="C170" s="26" t="s">
        <v>149</v>
      </c>
      <c r="D170" s="26" t="s">
        <v>71</v>
      </c>
      <c r="E170" s="27" t="s">
        <v>554</v>
      </c>
      <c r="F170" s="26" t="s">
        <v>26</v>
      </c>
      <c r="G170" s="26" t="s">
        <v>27</v>
      </c>
      <c r="H170" s="26" t="s">
        <v>555</v>
      </c>
      <c r="I170" s="26" t="s">
        <v>36</v>
      </c>
      <c r="J170" s="26" t="s">
        <v>119</v>
      </c>
      <c r="K170" s="26">
        <v>70026599</v>
      </c>
      <c r="L170" s="26" t="s">
        <v>30</v>
      </c>
      <c r="M170" s="26" t="s">
        <v>556</v>
      </c>
      <c r="N170" s="27" t="s">
        <v>557</v>
      </c>
      <c r="O170" s="28">
        <v>45999</v>
      </c>
      <c r="P170" s="26">
        <v>300</v>
      </c>
      <c r="Q170" s="29">
        <v>10.5</v>
      </c>
      <c r="R170" s="30" t="s">
        <v>31</v>
      </c>
      <c r="S170" s="29">
        <f t="shared" si="22"/>
        <v>3150</v>
      </c>
      <c r="T170" s="30" t="str">
        <f t="shared" si="23"/>
        <v>-</v>
      </c>
      <c r="U170" s="34">
        <v>46132</v>
      </c>
      <c r="V170" s="34" t="s">
        <v>31</v>
      </c>
      <c r="W170" s="33"/>
      <c r="X170" s="36" t="s">
        <v>40</v>
      </c>
      <c r="Y170" s="33" t="s">
        <v>635</v>
      </c>
      <c r="Z170" s="33" t="s">
        <v>632</v>
      </c>
      <c r="AA170" s="33" t="s">
        <v>636</v>
      </c>
      <c r="AB170" s="33" t="s">
        <v>628</v>
      </c>
    </row>
    <row r="171" spans="1:28" ht="30">
      <c r="A171" s="12" t="str">
        <f>IF('FY_25-26'!$D171="","",IF(OR('FY_25-26'!$D171="BOOHOO LADIES",'FY_25-26'!$D171="PLT",'FY_25-26'!$D171="KM"),"BUSINESS UNIT 1 - KIRAN","BUSINESS UNIT 2 - SHIFALI"))</f>
        <v>BUSINESS UNIT 1 - KIRAN</v>
      </c>
      <c r="B171" s="26">
        <f>IF('FY_25-26'!$C171&lt;&gt;"",ROW()-ROW($B$2),"")</f>
        <v>169</v>
      </c>
      <c r="C171" s="26" t="s">
        <v>149</v>
      </c>
      <c r="D171" s="26" t="s">
        <v>71</v>
      </c>
      <c r="E171" s="27" t="s">
        <v>361</v>
      </c>
      <c r="F171" s="26" t="s">
        <v>26</v>
      </c>
      <c r="G171" s="26" t="s">
        <v>27</v>
      </c>
      <c r="H171" s="26" t="s">
        <v>558</v>
      </c>
      <c r="I171" s="26" t="s">
        <v>36</v>
      </c>
      <c r="J171" s="26" t="s">
        <v>124</v>
      </c>
      <c r="K171" s="26">
        <v>70026612</v>
      </c>
      <c r="L171" s="26" t="s">
        <v>30</v>
      </c>
      <c r="M171" s="26" t="s">
        <v>556</v>
      </c>
      <c r="N171" s="27" t="s">
        <v>559</v>
      </c>
      <c r="O171" s="28">
        <v>45999</v>
      </c>
      <c r="P171" s="26">
        <v>300</v>
      </c>
      <c r="Q171" s="29">
        <v>10.5</v>
      </c>
      <c r="R171" s="30" t="s">
        <v>31</v>
      </c>
      <c r="S171" s="29">
        <f t="shared" si="22"/>
        <v>3150</v>
      </c>
      <c r="T171" s="30" t="str">
        <f t="shared" si="23"/>
        <v>-</v>
      </c>
      <c r="U171" s="34">
        <v>46132</v>
      </c>
      <c r="V171" s="34" t="s">
        <v>31</v>
      </c>
      <c r="W171" s="33"/>
      <c r="X171" s="36" t="s">
        <v>40</v>
      </c>
      <c r="Y171" s="33" t="s">
        <v>635</v>
      </c>
      <c r="Z171" s="33" t="s">
        <v>632</v>
      </c>
      <c r="AA171" s="33" t="s">
        <v>636</v>
      </c>
      <c r="AB171" s="33" t="s">
        <v>628</v>
      </c>
    </row>
    <row r="172" spans="1:28" ht="24">
      <c r="A172" s="12" t="str">
        <f>IF('FY_25-26'!$D172="","",IF(OR('FY_25-26'!$D172="BOOHOO LADIES",'FY_25-26'!$D172="PLT",'FY_25-26'!$D172="KM"),"BUSINESS UNIT 1 - KIRAN","BUSINESS UNIT 2 - SHIFALI"))</f>
        <v>BUSINESS UNIT 2 - SHIFALI</v>
      </c>
      <c r="B172" s="26">
        <f>IF('FY_25-26'!$C172&lt;&gt;"",ROW()-ROW($B$2),"")</f>
        <v>170</v>
      </c>
      <c r="C172" s="26" t="s">
        <v>23</v>
      </c>
      <c r="D172" s="26" t="s">
        <v>24</v>
      </c>
      <c r="E172" s="27" t="s">
        <v>140</v>
      </c>
      <c r="F172" s="26" t="s">
        <v>26</v>
      </c>
      <c r="G172" s="26" t="s">
        <v>27</v>
      </c>
      <c r="H172" s="26" t="s">
        <v>564</v>
      </c>
      <c r="I172" s="26" t="s">
        <v>36</v>
      </c>
      <c r="J172" s="26" t="s">
        <v>119</v>
      </c>
      <c r="K172" s="26">
        <v>3416897</v>
      </c>
      <c r="L172" s="26" t="s">
        <v>30</v>
      </c>
      <c r="M172" s="26" t="s">
        <v>560</v>
      </c>
      <c r="N172" s="27" t="s">
        <v>565</v>
      </c>
      <c r="O172" s="28">
        <v>46007</v>
      </c>
      <c r="P172" s="26">
        <v>98</v>
      </c>
      <c r="Q172" s="29" t="s">
        <v>31</v>
      </c>
      <c r="R172" s="30">
        <v>22</v>
      </c>
      <c r="S172" s="29" t="str">
        <f t="shared" ref="S172:S196" si="24">IF($Q172="","",IF($Q172="-","-",$P172*$Q172))</f>
        <v>-</v>
      </c>
      <c r="T172" s="30">
        <f t="shared" ref="T172:T196" si="25">IF($R172="","",IF($R172="-","-",$P172*$R172))</f>
        <v>2156</v>
      </c>
      <c r="U172" s="28">
        <v>46090</v>
      </c>
      <c r="V172" s="34" t="s">
        <v>31</v>
      </c>
      <c r="W172" s="33"/>
      <c r="X172" s="37" t="s">
        <v>40</v>
      </c>
      <c r="Y172" s="33" t="s">
        <v>635</v>
      </c>
      <c r="Z172" s="33" t="s">
        <v>632</v>
      </c>
      <c r="AA172" s="33" t="s">
        <v>636</v>
      </c>
      <c r="AB172" s="33" t="s">
        <v>628</v>
      </c>
    </row>
    <row r="173" spans="1:28" ht="24">
      <c r="A173" s="12" t="str">
        <f>IF('FY_25-26'!$D173="","",IF(OR('FY_25-26'!$D173="BOOHOO LADIES",'FY_25-26'!$D173="PLT",'FY_25-26'!$D173="KM"),"BUSINESS UNIT 1 - KIRAN","BUSINESS UNIT 2 - SHIFALI"))</f>
        <v>BUSINESS UNIT 2 - SHIFALI</v>
      </c>
      <c r="B173" s="26">
        <f>IF('FY_25-26'!$C173&lt;&gt;"",ROW()-ROW($B$2),"")</f>
        <v>171</v>
      </c>
      <c r="C173" s="26" t="s">
        <v>146</v>
      </c>
      <c r="D173" s="26" t="s">
        <v>34</v>
      </c>
      <c r="E173" s="27" t="s">
        <v>35</v>
      </c>
      <c r="F173" s="26" t="s">
        <v>26</v>
      </c>
      <c r="G173" s="26" t="s">
        <v>27</v>
      </c>
      <c r="H173" s="26" t="s">
        <v>566</v>
      </c>
      <c r="I173" s="26" t="s">
        <v>36</v>
      </c>
      <c r="J173" s="26" t="s">
        <v>100</v>
      </c>
      <c r="K173" s="26">
        <v>3417196</v>
      </c>
      <c r="L173" s="26" t="s">
        <v>30</v>
      </c>
      <c r="M173" s="26" t="s">
        <v>567</v>
      </c>
      <c r="N173" s="27" t="s">
        <v>568</v>
      </c>
      <c r="O173" s="28">
        <v>46007</v>
      </c>
      <c r="P173" s="26">
        <v>100</v>
      </c>
      <c r="Q173" s="29" t="s">
        <v>31</v>
      </c>
      <c r="R173" s="30">
        <v>30</v>
      </c>
      <c r="S173" s="29" t="str">
        <f t="shared" si="24"/>
        <v>-</v>
      </c>
      <c r="T173" s="30">
        <f t="shared" si="25"/>
        <v>3000</v>
      </c>
      <c r="U173" s="28">
        <v>46096</v>
      </c>
      <c r="V173" s="34" t="s">
        <v>31</v>
      </c>
      <c r="W173" s="33"/>
      <c r="X173" s="37" t="s">
        <v>32</v>
      </c>
      <c r="Y173" s="33" t="s">
        <v>634</v>
      </c>
      <c r="Z173" s="33" t="s">
        <v>632</v>
      </c>
      <c r="AA173" s="33" t="s">
        <v>636</v>
      </c>
      <c r="AB173" s="33" t="s">
        <v>628</v>
      </c>
    </row>
    <row r="174" spans="1:28" ht="30">
      <c r="A174" s="12" t="str">
        <f>IF('FY_25-26'!$D174="","",IF(OR('FY_25-26'!$D174="BOOHOO LADIES",'FY_25-26'!$D174="PLT",'FY_25-26'!$D174="KM"),"BUSINESS UNIT 1 - KIRAN","BUSINESS UNIT 2 - SHIFALI"))</f>
        <v>BUSINESS UNIT 2 - SHIFALI</v>
      </c>
      <c r="B174" s="26">
        <f>IF('FY_25-26'!$C174&lt;&gt;"",ROW()-ROW($B$2),"")</f>
        <v>172</v>
      </c>
      <c r="C174" s="26" t="s">
        <v>23</v>
      </c>
      <c r="D174" s="26" t="s">
        <v>145</v>
      </c>
      <c r="E174" s="27" t="s">
        <v>125</v>
      </c>
      <c r="F174" s="26" t="s">
        <v>26</v>
      </c>
      <c r="G174" s="26" t="s">
        <v>27</v>
      </c>
      <c r="H174" s="26" t="s">
        <v>569</v>
      </c>
      <c r="I174" s="26" t="s">
        <v>36</v>
      </c>
      <c r="J174" s="26" t="s">
        <v>42</v>
      </c>
      <c r="K174" s="26">
        <v>3417414</v>
      </c>
      <c r="L174" s="26" t="s">
        <v>30</v>
      </c>
      <c r="M174" s="26" t="s">
        <v>561</v>
      </c>
      <c r="N174" s="27" t="s">
        <v>570</v>
      </c>
      <c r="O174" s="28">
        <v>46008</v>
      </c>
      <c r="P174" s="26">
        <v>100</v>
      </c>
      <c r="Q174" s="29" t="s">
        <v>31</v>
      </c>
      <c r="R174" s="30">
        <v>28</v>
      </c>
      <c r="S174" s="29" t="str">
        <f t="shared" si="24"/>
        <v>-</v>
      </c>
      <c r="T174" s="30">
        <f t="shared" si="25"/>
        <v>2800</v>
      </c>
      <c r="U174" s="28">
        <v>46094</v>
      </c>
      <c r="V174" s="34" t="s">
        <v>31</v>
      </c>
      <c r="W174" s="33"/>
      <c r="X174" s="37" t="s">
        <v>32</v>
      </c>
      <c r="Y174" s="33" t="s">
        <v>634</v>
      </c>
      <c r="Z174" s="33" t="s">
        <v>632</v>
      </c>
      <c r="AA174" s="33" t="s">
        <v>636</v>
      </c>
      <c r="AB174" s="33" t="s">
        <v>628</v>
      </c>
    </row>
    <row r="175" spans="1:28" ht="30">
      <c r="A175" s="12" t="str">
        <f>IF('FY_25-26'!$D175="","",IF(OR('FY_25-26'!$D175="BOOHOO LADIES",'FY_25-26'!$D175="PLT",'FY_25-26'!$D175="KM"),"BUSINESS UNIT 1 - KIRAN","BUSINESS UNIT 2 - SHIFALI"))</f>
        <v>BUSINESS UNIT 2 - SHIFALI</v>
      </c>
      <c r="B175" s="26">
        <f>IF('FY_25-26'!$C175&lt;&gt;"",ROW()-ROW($B$2),"")</f>
        <v>173</v>
      </c>
      <c r="C175" s="26" t="s">
        <v>23</v>
      </c>
      <c r="D175" s="26" t="s">
        <v>145</v>
      </c>
      <c r="E175" s="27" t="s">
        <v>125</v>
      </c>
      <c r="F175" s="26" t="s">
        <v>26</v>
      </c>
      <c r="G175" s="26" t="s">
        <v>27</v>
      </c>
      <c r="H175" s="26" t="s">
        <v>571</v>
      </c>
      <c r="I175" s="26" t="s">
        <v>36</v>
      </c>
      <c r="J175" s="26" t="s">
        <v>41</v>
      </c>
      <c r="K175" s="26">
        <v>3417732</v>
      </c>
      <c r="L175" s="26" t="s">
        <v>30</v>
      </c>
      <c r="M175" s="26" t="s">
        <v>563</v>
      </c>
      <c r="N175" s="27" t="s">
        <v>572</v>
      </c>
      <c r="O175" s="28">
        <v>46009</v>
      </c>
      <c r="P175" s="26">
        <v>100</v>
      </c>
      <c r="Q175" s="29" t="s">
        <v>31</v>
      </c>
      <c r="R175" s="30">
        <v>29.5</v>
      </c>
      <c r="S175" s="29" t="str">
        <f t="shared" si="24"/>
        <v>-</v>
      </c>
      <c r="T175" s="30">
        <f t="shared" si="25"/>
        <v>2950</v>
      </c>
      <c r="U175" s="28">
        <v>46094</v>
      </c>
      <c r="V175" s="34" t="s">
        <v>31</v>
      </c>
      <c r="W175" s="33"/>
      <c r="X175" s="37" t="s">
        <v>40</v>
      </c>
      <c r="Y175" s="33" t="s">
        <v>635</v>
      </c>
      <c r="Z175" s="33" t="s">
        <v>632</v>
      </c>
      <c r="AA175" s="33" t="s">
        <v>636</v>
      </c>
      <c r="AB175" s="33" t="s">
        <v>628</v>
      </c>
    </row>
    <row r="176" spans="1:28" ht="30">
      <c r="A176" s="12" t="str">
        <f>IF('FY_25-26'!$D176="","",IF(OR('FY_25-26'!$D176="BOOHOO LADIES",'FY_25-26'!$D176="PLT",'FY_25-26'!$D176="KM"),"BUSINESS UNIT 1 - KIRAN","BUSINESS UNIT 2 - SHIFALI"))</f>
        <v>BUSINESS UNIT 2 - SHIFALI</v>
      </c>
      <c r="B176" s="26">
        <f>IF('FY_25-26'!$C176&lt;&gt;"",ROW()-ROW($B$2),"")</f>
        <v>174</v>
      </c>
      <c r="C176" s="26" t="s">
        <v>23</v>
      </c>
      <c r="D176" s="26" t="s">
        <v>145</v>
      </c>
      <c r="E176" s="27" t="s">
        <v>125</v>
      </c>
      <c r="F176" s="26" t="s">
        <v>26</v>
      </c>
      <c r="G176" s="26" t="s">
        <v>27</v>
      </c>
      <c r="H176" s="26" t="s">
        <v>573</v>
      </c>
      <c r="I176" s="26" t="s">
        <v>36</v>
      </c>
      <c r="J176" s="26" t="s">
        <v>231</v>
      </c>
      <c r="K176" s="26">
        <v>3417773</v>
      </c>
      <c r="L176" s="26" t="s">
        <v>30</v>
      </c>
      <c r="M176" s="26" t="s">
        <v>562</v>
      </c>
      <c r="N176" s="27" t="s">
        <v>574</v>
      </c>
      <c r="O176" s="28">
        <v>46009</v>
      </c>
      <c r="P176" s="26">
        <v>100</v>
      </c>
      <c r="Q176" s="29" t="s">
        <v>31</v>
      </c>
      <c r="R176" s="30">
        <v>24.25</v>
      </c>
      <c r="S176" s="29" t="str">
        <f t="shared" si="24"/>
        <v>-</v>
      </c>
      <c r="T176" s="30">
        <f t="shared" si="25"/>
        <v>2425</v>
      </c>
      <c r="U176" s="28">
        <v>46094</v>
      </c>
      <c r="V176" s="34" t="s">
        <v>31</v>
      </c>
      <c r="W176" s="33"/>
      <c r="X176" s="37" t="s">
        <v>40</v>
      </c>
      <c r="Y176" s="33" t="s">
        <v>635</v>
      </c>
      <c r="Z176" s="33" t="s">
        <v>632</v>
      </c>
      <c r="AA176" s="33" t="s">
        <v>636</v>
      </c>
      <c r="AB176" s="33" t="s">
        <v>628</v>
      </c>
    </row>
    <row r="177" spans="1:28" ht="24">
      <c r="A177" s="12" t="str">
        <f>IF('FY_25-26'!$D177="","",IF(OR('FY_25-26'!$D177="BOOHOO LADIES",'FY_25-26'!$D177="PLT",'FY_25-26'!$D177="KM"),"BUSINESS UNIT 1 - KIRAN","BUSINESS UNIT 2 - SHIFALI"))</f>
        <v>BUSINESS UNIT 2 - SHIFALI</v>
      </c>
      <c r="B177" s="26">
        <f>IF('FY_25-26'!$C177&lt;&gt;"",ROW()-ROW($B$2),"")</f>
        <v>175</v>
      </c>
      <c r="C177" s="26" t="s">
        <v>23</v>
      </c>
      <c r="D177" s="26" t="s">
        <v>34</v>
      </c>
      <c r="E177" s="27" t="s">
        <v>35</v>
      </c>
      <c r="F177" s="26" t="s">
        <v>26</v>
      </c>
      <c r="G177" s="26" t="s">
        <v>27</v>
      </c>
      <c r="H177" s="26" t="s">
        <v>575</v>
      </c>
      <c r="I177" s="26" t="s">
        <v>36</v>
      </c>
      <c r="J177" s="26" t="s">
        <v>63</v>
      </c>
      <c r="K177" s="26">
        <v>3417482</v>
      </c>
      <c r="L177" s="26" t="s">
        <v>30</v>
      </c>
      <c r="M177" s="26" t="s">
        <v>461</v>
      </c>
      <c r="N177" s="27" t="s">
        <v>576</v>
      </c>
      <c r="O177" s="28">
        <v>46009</v>
      </c>
      <c r="P177" s="26">
        <v>100</v>
      </c>
      <c r="Q177" s="29" t="s">
        <v>31</v>
      </c>
      <c r="R177" s="30">
        <v>23.5</v>
      </c>
      <c r="S177" s="29" t="str">
        <f t="shared" si="24"/>
        <v>-</v>
      </c>
      <c r="T177" s="30">
        <f t="shared" si="25"/>
        <v>2350</v>
      </c>
      <c r="U177" s="28">
        <v>46098</v>
      </c>
      <c r="V177" s="34" t="s">
        <v>31</v>
      </c>
      <c r="W177" s="33"/>
      <c r="X177" s="37" t="s">
        <v>32</v>
      </c>
      <c r="Y177" s="33" t="s">
        <v>634</v>
      </c>
      <c r="Z177" s="33" t="s">
        <v>632</v>
      </c>
      <c r="AA177" s="33" t="s">
        <v>636</v>
      </c>
      <c r="AB177" s="33" t="s">
        <v>628</v>
      </c>
    </row>
    <row r="178" spans="1:28" ht="24">
      <c r="A178" s="10" t="str">
        <f>IF('FY_25-26'!$D178="","",IF(OR('FY_25-26'!$D178="BOOHOO LADIES",'FY_25-26'!$D178="PLT",'FY_25-26'!$D178="KM"),"BUSINESS UNIT 1 - KIRAN","BUSINESS UNIT 2 - SHIFALI"))</f>
        <v>BUSINESS UNIT 2 - SHIFALI</v>
      </c>
      <c r="B178" s="26">
        <f>IF('FY_25-26'!$C178&lt;&gt;"",ROW()-ROW($B$2),"")</f>
        <v>176</v>
      </c>
      <c r="C178" s="26" t="s">
        <v>139</v>
      </c>
      <c r="D178" s="26" t="s">
        <v>145</v>
      </c>
      <c r="E178" s="27" t="s">
        <v>117</v>
      </c>
      <c r="F178" s="26" t="s">
        <v>26</v>
      </c>
      <c r="G178" s="26" t="s">
        <v>27</v>
      </c>
      <c r="H178" s="26" t="s">
        <v>577</v>
      </c>
      <c r="I178" s="26" t="s">
        <v>36</v>
      </c>
      <c r="J178" s="26" t="s">
        <v>43</v>
      </c>
      <c r="K178" s="26">
        <v>3416659</v>
      </c>
      <c r="L178" s="26" t="s">
        <v>30</v>
      </c>
      <c r="M178" s="26" t="s">
        <v>578</v>
      </c>
      <c r="N178" s="27" t="s">
        <v>579</v>
      </c>
      <c r="O178" s="28">
        <v>46007</v>
      </c>
      <c r="P178" s="26">
        <v>100</v>
      </c>
      <c r="Q178" s="29">
        <v>9.8000000000000007</v>
      </c>
      <c r="R178" s="30" t="s">
        <v>31</v>
      </c>
      <c r="S178" s="29">
        <f t="shared" si="24"/>
        <v>980.00000000000011</v>
      </c>
      <c r="T178" s="30" t="str">
        <f t="shared" si="25"/>
        <v>-</v>
      </c>
      <c r="U178" s="28">
        <v>46095</v>
      </c>
      <c r="V178" s="34" t="s">
        <v>31</v>
      </c>
      <c r="W178" s="33"/>
      <c r="X178" s="37" t="s">
        <v>32</v>
      </c>
      <c r="Y178" s="33" t="s">
        <v>634</v>
      </c>
      <c r="Z178" s="33" t="s">
        <v>632</v>
      </c>
      <c r="AA178" s="33" t="s">
        <v>636</v>
      </c>
      <c r="AB178" s="33" t="s">
        <v>628</v>
      </c>
    </row>
    <row r="179" spans="1:28" ht="24">
      <c r="A179" s="12" t="str">
        <f>IF('FY_25-26'!$D179="","",IF(OR('FY_25-26'!$D179="BOOHOO LADIES",'FY_25-26'!$D179="PLT",'FY_25-26'!$D179="KM"),"BUSINESS UNIT 1 - KIRAN","BUSINESS UNIT 2 - SHIFALI"))</f>
        <v>BUSINESS UNIT 2 - SHIFALI</v>
      </c>
      <c r="B179" s="26">
        <f>IF('FY_25-26'!$C179&lt;&gt;"",ROW()-ROW($B$2),"")</f>
        <v>177</v>
      </c>
      <c r="C179" s="26" t="s">
        <v>139</v>
      </c>
      <c r="D179" s="26" t="s">
        <v>145</v>
      </c>
      <c r="E179" s="27" t="s">
        <v>117</v>
      </c>
      <c r="F179" s="26" t="s">
        <v>26</v>
      </c>
      <c r="G179" s="26" t="s">
        <v>27</v>
      </c>
      <c r="H179" s="26" t="s">
        <v>580</v>
      </c>
      <c r="I179" s="26" t="s">
        <v>36</v>
      </c>
      <c r="J179" s="26" t="s">
        <v>100</v>
      </c>
      <c r="K179" s="26">
        <v>3416672</v>
      </c>
      <c r="L179" s="26" t="s">
        <v>30</v>
      </c>
      <c r="M179" s="26" t="s">
        <v>581</v>
      </c>
      <c r="N179" s="27" t="s">
        <v>582</v>
      </c>
      <c r="O179" s="28">
        <v>46007</v>
      </c>
      <c r="P179" s="26">
        <v>100</v>
      </c>
      <c r="Q179" s="29">
        <v>9.3000000000000007</v>
      </c>
      <c r="R179" s="30" t="s">
        <v>31</v>
      </c>
      <c r="S179" s="29">
        <f t="shared" si="24"/>
        <v>930.00000000000011</v>
      </c>
      <c r="T179" s="30" t="str">
        <f t="shared" si="25"/>
        <v>-</v>
      </c>
      <c r="U179" s="28">
        <v>46095</v>
      </c>
      <c r="V179" s="34" t="s">
        <v>31</v>
      </c>
      <c r="W179" s="33"/>
      <c r="X179" s="37" t="s">
        <v>32</v>
      </c>
      <c r="Y179" s="33" t="s">
        <v>634</v>
      </c>
      <c r="Z179" s="33" t="s">
        <v>632</v>
      </c>
      <c r="AA179" s="33" t="s">
        <v>636</v>
      </c>
      <c r="AB179" s="33" t="s">
        <v>628</v>
      </c>
    </row>
    <row r="180" spans="1:28" ht="24">
      <c r="A180" s="12" t="str">
        <f>IF('FY_25-26'!$D180="","",IF(OR('FY_25-26'!$D180="BOOHOO LADIES",'FY_25-26'!$D180="PLT",'FY_25-26'!$D180="KM"),"BUSINESS UNIT 1 - KIRAN","BUSINESS UNIT 2 - SHIFALI"))</f>
        <v>BUSINESS UNIT 2 - SHIFALI</v>
      </c>
      <c r="B180" s="26">
        <f>IF('FY_25-26'!$C180&lt;&gt;"",ROW()-ROW($B$2),"")</f>
        <v>178</v>
      </c>
      <c r="C180" s="26" t="s">
        <v>139</v>
      </c>
      <c r="D180" s="26" t="s">
        <v>145</v>
      </c>
      <c r="E180" s="27" t="s">
        <v>117</v>
      </c>
      <c r="F180" s="26" t="s">
        <v>26</v>
      </c>
      <c r="G180" s="26" t="s">
        <v>27</v>
      </c>
      <c r="H180" s="26" t="s">
        <v>583</v>
      </c>
      <c r="I180" s="26" t="s">
        <v>36</v>
      </c>
      <c r="J180" s="26" t="s">
        <v>100</v>
      </c>
      <c r="K180" s="26">
        <v>3416746</v>
      </c>
      <c r="L180" s="26" t="s">
        <v>30</v>
      </c>
      <c r="M180" s="26" t="s">
        <v>584</v>
      </c>
      <c r="N180" s="27" t="s">
        <v>585</v>
      </c>
      <c r="O180" s="28">
        <v>46007</v>
      </c>
      <c r="P180" s="26">
        <v>200</v>
      </c>
      <c r="Q180" s="29">
        <v>9.35</v>
      </c>
      <c r="R180" s="30" t="s">
        <v>31</v>
      </c>
      <c r="S180" s="29">
        <f t="shared" si="24"/>
        <v>1870</v>
      </c>
      <c r="T180" s="30" t="str">
        <f t="shared" si="25"/>
        <v>-</v>
      </c>
      <c r="U180" s="28">
        <v>46095</v>
      </c>
      <c r="V180" s="34" t="s">
        <v>31</v>
      </c>
      <c r="W180" s="33"/>
      <c r="X180" s="37" t="s">
        <v>32</v>
      </c>
      <c r="Y180" s="33" t="s">
        <v>634</v>
      </c>
      <c r="Z180" s="33" t="s">
        <v>632</v>
      </c>
      <c r="AA180" s="33" t="s">
        <v>636</v>
      </c>
      <c r="AB180" s="33" t="s">
        <v>628</v>
      </c>
    </row>
    <row r="181" spans="1:28" ht="24">
      <c r="A181" s="12" t="str">
        <f>IF('FY_25-26'!$D181="","",IF(OR('FY_25-26'!$D181="BOOHOO LADIES",'FY_25-26'!$D181="PLT",'FY_25-26'!$D181="KM"),"BUSINESS UNIT 1 - KIRAN","BUSINESS UNIT 2 - SHIFALI"))</f>
        <v>BUSINESS UNIT 1 - KIRAN</v>
      </c>
      <c r="B181" s="26">
        <f>IF('FY_25-26'!$C181&lt;&gt;"",ROW()-ROW($B$2),"")</f>
        <v>179</v>
      </c>
      <c r="C181" s="26" t="s">
        <v>459</v>
      </c>
      <c r="D181" s="26" t="s">
        <v>71</v>
      </c>
      <c r="E181" s="27" t="s">
        <v>361</v>
      </c>
      <c r="F181" s="26" t="s">
        <v>26</v>
      </c>
      <c r="G181" s="26" t="s">
        <v>27</v>
      </c>
      <c r="H181" s="26" t="s">
        <v>586</v>
      </c>
      <c r="I181" s="26" t="s">
        <v>36</v>
      </c>
      <c r="J181" s="26" t="s">
        <v>29</v>
      </c>
      <c r="K181" s="26">
        <v>70020352</v>
      </c>
      <c r="L181" s="26" t="s">
        <v>30</v>
      </c>
      <c r="M181" s="26" t="s">
        <v>587</v>
      </c>
      <c r="N181" s="27" t="s">
        <v>588</v>
      </c>
      <c r="O181" s="28">
        <v>46009</v>
      </c>
      <c r="P181" s="26">
        <v>500</v>
      </c>
      <c r="Q181" s="29" t="s">
        <v>31</v>
      </c>
      <c r="R181" s="30">
        <v>4.0999999999999996</v>
      </c>
      <c r="S181" s="29" t="str">
        <f t="shared" si="24"/>
        <v>-</v>
      </c>
      <c r="T181" s="30">
        <f t="shared" si="25"/>
        <v>2050</v>
      </c>
      <c r="U181" s="28">
        <v>46079</v>
      </c>
      <c r="V181" s="34" t="s">
        <v>31</v>
      </c>
      <c r="W181" s="33"/>
      <c r="X181" s="37" t="s">
        <v>40</v>
      </c>
      <c r="Y181" s="33" t="s">
        <v>635</v>
      </c>
      <c r="Z181" s="33" t="s">
        <v>632</v>
      </c>
      <c r="AA181" s="33" t="s">
        <v>636</v>
      </c>
      <c r="AB181" s="33" t="s">
        <v>628</v>
      </c>
    </row>
    <row r="182" spans="1:28" ht="24">
      <c r="A182" s="12" t="str">
        <f>IF('FY_25-26'!$D182="","",IF(OR('FY_25-26'!$D182="BOOHOO LADIES",'FY_25-26'!$D182="PLT",'FY_25-26'!$D182="KM"),"BUSINESS UNIT 1 - KIRAN","BUSINESS UNIT 2 - SHIFALI"))</f>
        <v>BUSINESS UNIT 1 - KIRAN</v>
      </c>
      <c r="B182" s="26">
        <f>IF('FY_25-26'!$C182&lt;&gt;"",ROW()-ROW($B$2),"")</f>
        <v>180</v>
      </c>
      <c r="C182" s="26" t="s">
        <v>459</v>
      </c>
      <c r="D182" s="26" t="s">
        <v>71</v>
      </c>
      <c r="E182" s="27" t="s">
        <v>361</v>
      </c>
      <c r="F182" s="26" t="s">
        <v>26</v>
      </c>
      <c r="G182" s="26" t="s">
        <v>27</v>
      </c>
      <c r="H182" s="26" t="s">
        <v>589</v>
      </c>
      <c r="I182" s="26" t="s">
        <v>36</v>
      </c>
      <c r="J182" s="26" t="s">
        <v>152</v>
      </c>
      <c r="K182" s="26">
        <v>70020353</v>
      </c>
      <c r="L182" s="26" t="s">
        <v>30</v>
      </c>
      <c r="M182" s="26" t="s">
        <v>587</v>
      </c>
      <c r="N182" s="27" t="s">
        <v>590</v>
      </c>
      <c r="O182" s="28">
        <v>46009</v>
      </c>
      <c r="P182" s="26">
        <v>500</v>
      </c>
      <c r="Q182" s="29" t="s">
        <v>31</v>
      </c>
      <c r="R182" s="30">
        <v>4.0999999999999996</v>
      </c>
      <c r="S182" s="29" t="str">
        <f t="shared" si="24"/>
        <v>-</v>
      </c>
      <c r="T182" s="30">
        <f t="shared" si="25"/>
        <v>2050</v>
      </c>
      <c r="U182" s="28">
        <v>46079</v>
      </c>
      <c r="V182" s="34" t="s">
        <v>31</v>
      </c>
      <c r="W182" s="33"/>
      <c r="X182" s="37" t="s">
        <v>40</v>
      </c>
      <c r="Y182" s="33" t="s">
        <v>635</v>
      </c>
      <c r="Z182" s="33" t="s">
        <v>632</v>
      </c>
      <c r="AA182" s="33" t="s">
        <v>636</v>
      </c>
      <c r="AB182" s="33" t="s">
        <v>628</v>
      </c>
    </row>
    <row r="183" spans="1:28" ht="24">
      <c r="A183" s="12" t="str">
        <f>IF('FY_25-26'!$D183="","",IF(OR('FY_25-26'!$D183="BOOHOO LADIES",'FY_25-26'!$D183="PLT",'FY_25-26'!$D183="KM"),"BUSINESS UNIT 1 - KIRAN","BUSINESS UNIT 2 - SHIFALI"))</f>
        <v>BUSINESS UNIT 1 - KIRAN</v>
      </c>
      <c r="B183" s="26">
        <f>IF('FY_25-26'!$C183&lt;&gt;"",ROW()-ROW($B$2),"")</f>
        <v>181</v>
      </c>
      <c r="C183" s="26" t="s">
        <v>459</v>
      </c>
      <c r="D183" s="26" t="s">
        <v>71</v>
      </c>
      <c r="E183" s="27" t="s">
        <v>361</v>
      </c>
      <c r="F183" s="26" t="s">
        <v>26</v>
      </c>
      <c r="G183" s="26" t="s">
        <v>27</v>
      </c>
      <c r="H183" s="26" t="s">
        <v>591</v>
      </c>
      <c r="I183" s="26" t="s">
        <v>36</v>
      </c>
      <c r="J183" s="26" t="s">
        <v>138</v>
      </c>
      <c r="K183" s="26">
        <v>70020360</v>
      </c>
      <c r="L183" s="26" t="s">
        <v>30</v>
      </c>
      <c r="M183" s="26" t="s">
        <v>592</v>
      </c>
      <c r="N183" s="27" t="s">
        <v>593</v>
      </c>
      <c r="O183" s="28">
        <v>46009</v>
      </c>
      <c r="P183" s="26">
        <v>300</v>
      </c>
      <c r="Q183" s="29" t="s">
        <v>31</v>
      </c>
      <c r="R183" s="30">
        <v>4.95</v>
      </c>
      <c r="S183" s="29" t="str">
        <f t="shared" si="24"/>
        <v>-</v>
      </c>
      <c r="T183" s="30">
        <f t="shared" si="25"/>
        <v>1485</v>
      </c>
      <c r="U183" s="28">
        <v>46079</v>
      </c>
      <c r="V183" s="34" t="s">
        <v>31</v>
      </c>
      <c r="W183" s="33"/>
      <c r="X183" s="37" t="s">
        <v>40</v>
      </c>
      <c r="Y183" s="33" t="s">
        <v>635</v>
      </c>
      <c r="Z183" s="33" t="s">
        <v>632</v>
      </c>
      <c r="AA183" s="33" t="s">
        <v>636</v>
      </c>
      <c r="AB183" s="33" t="s">
        <v>628</v>
      </c>
    </row>
    <row r="184" spans="1:28" ht="24">
      <c r="A184" s="12" t="str">
        <f>IF('FY_25-26'!$D184="","",IF(OR('FY_25-26'!$D184="BOOHOO LADIES",'FY_25-26'!$D184="PLT",'FY_25-26'!$D184="KM"),"BUSINESS UNIT 1 - KIRAN","BUSINESS UNIT 2 - SHIFALI"))</f>
        <v>BUSINESS UNIT 1 - KIRAN</v>
      </c>
      <c r="B184" s="26">
        <f>IF('FY_25-26'!$C184&lt;&gt;"",ROW()-ROW($B$2),"")</f>
        <v>182</v>
      </c>
      <c r="C184" s="26" t="s">
        <v>459</v>
      </c>
      <c r="D184" s="26" t="s">
        <v>71</v>
      </c>
      <c r="E184" s="27" t="s">
        <v>361</v>
      </c>
      <c r="F184" s="26" t="s">
        <v>26</v>
      </c>
      <c r="G184" s="26" t="s">
        <v>27</v>
      </c>
      <c r="H184" s="26" t="s">
        <v>594</v>
      </c>
      <c r="I184" s="26" t="s">
        <v>36</v>
      </c>
      <c r="J184" s="26" t="s">
        <v>152</v>
      </c>
      <c r="K184" s="26">
        <v>70020361</v>
      </c>
      <c r="L184" s="26" t="s">
        <v>30</v>
      </c>
      <c r="M184" s="26" t="s">
        <v>592</v>
      </c>
      <c r="N184" s="27" t="s">
        <v>595</v>
      </c>
      <c r="O184" s="28">
        <v>46009</v>
      </c>
      <c r="P184" s="26">
        <v>300</v>
      </c>
      <c r="Q184" s="29" t="s">
        <v>31</v>
      </c>
      <c r="R184" s="30">
        <v>4.95</v>
      </c>
      <c r="S184" s="29" t="str">
        <f t="shared" si="24"/>
        <v>-</v>
      </c>
      <c r="T184" s="30">
        <f t="shared" si="25"/>
        <v>1485</v>
      </c>
      <c r="U184" s="28">
        <v>46079</v>
      </c>
      <c r="V184" s="34" t="s">
        <v>31</v>
      </c>
      <c r="W184" s="33"/>
      <c r="X184" s="37" t="s">
        <v>40</v>
      </c>
      <c r="Y184" s="33" t="s">
        <v>635</v>
      </c>
      <c r="Z184" s="33" t="s">
        <v>632</v>
      </c>
      <c r="AA184" s="33" t="s">
        <v>636</v>
      </c>
      <c r="AB184" s="33" t="s">
        <v>628</v>
      </c>
    </row>
    <row r="185" spans="1:28" ht="24">
      <c r="A185" s="12" t="str">
        <f>IF('FY_25-26'!$D185="","",IF(OR('FY_25-26'!$D185="BOOHOO LADIES",'FY_25-26'!$D185="PLT",'FY_25-26'!$D185="KM"),"BUSINESS UNIT 1 - KIRAN","BUSINESS UNIT 2 - SHIFALI"))</f>
        <v>BUSINESS UNIT 1 - KIRAN</v>
      </c>
      <c r="B185" s="26">
        <f>IF('FY_25-26'!$C185&lt;&gt;"",ROW()-ROW($B$2),"")</f>
        <v>183</v>
      </c>
      <c r="C185" s="26" t="s">
        <v>459</v>
      </c>
      <c r="D185" s="26" t="s">
        <v>71</v>
      </c>
      <c r="E185" s="27" t="s">
        <v>361</v>
      </c>
      <c r="F185" s="26" t="s">
        <v>26</v>
      </c>
      <c r="G185" s="26" t="s">
        <v>27</v>
      </c>
      <c r="H185" s="26" t="s">
        <v>596</v>
      </c>
      <c r="I185" s="26" t="s">
        <v>36</v>
      </c>
      <c r="J185" s="26" t="s">
        <v>152</v>
      </c>
      <c r="K185" s="26">
        <v>70020367</v>
      </c>
      <c r="L185" s="26" t="s">
        <v>30</v>
      </c>
      <c r="M185" s="26" t="s">
        <v>597</v>
      </c>
      <c r="N185" s="27" t="s">
        <v>598</v>
      </c>
      <c r="O185" s="28">
        <v>46009</v>
      </c>
      <c r="P185" s="26">
        <v>500</v>
      </c>
      <c r="Q185" s="29" t="s">
        <v>31</v>
      </c>
      <c r="R185" s="30">
        <v>8.4499999999999993</v>
      </c>
      <c r="S185" s="29" t="str">
        <f t="shared" si="24"/>
        <v>-</v>
      </c>
      <c r="T185" s="30">
        <f t="shared" si="25"/>
        <v>4225</v>
      </c>
      <c r="U185" s="28">
        <v>46079</v>
      </c>
      <c r="V185" s="34" t="s">
        <v>31</v>
      </c>
      <c r="W185" s="33"/>
      <c r="X185" s="37" t="s">
        <v>40</v>
      </c>
      <c r="Y185" s="33" t="s">
        <v>635</v>
      </c>
      <c r="Z185" s="33" t="s">
        <v>632</v>
      </c>
      <c r="AA185" s="33" t="s">
        <v>636</v>
      </c>
      <c r="AB185" s="33" t="s">
        <v>628</v>
      </c>
    </row>
    <row r="186" spans="1:28" ht="24">
      <c r="A186" s="12" t="str">
        <f>IF('FY_25-26'!$D186="","",IF(OR('FY_25-26'!$D186="BOOHOO LADIES",'FY_25-26'!$D186="PLT",'FY_25-26'!$D186="KM"),"BUSINESS UNIT 1 - KIRAN","BUSINESS UNIT 2 - SHIFALI"))</f>
        <v>BUSINESS UNIT 1 - KIRAN</v>
      </c>
      <c r="B186" s="26">
        <f>IF('FY_25-26'!$C186&lt;&gt;"",ROW()-ROW($B$2),"")</f>
        <v>184</v>
      </c>
      <c r="C186" s="26" t="s">
        <v>459</v>
      </c>
      <c r="D186" s="26" t="s">
        <v>71</v>
      </c>
      <c r="E186" s="27" t="s">
        <v>361</v>
      </c>
      <c r="F186" s="26" t="s">
        <v>26</v>
      </c>
      <c r="G186" s="26" t="s">
        <v>27</v>
      </c>
      <c r="H186" s="26" t="s">
        <v>599</v>
      </c>
      <c r="I186" s="26" t="s">
        <v>36</v>
      </c>
      <c r="J186" s="26" t="s">
        <v>138</v>
      </c>
      <c r="K186" s="26">
        <v>70020368</v>
      </c>
      <c r="L186" s="26" t="s">
        <v>30</v>
      </c>
      <c r="M186" s="26" t="s">
        <v>597</v>
      </c>
      <c r="N186" s="27" t="s">
        <v>600</v>
      </c>
      <c r="O186" s="28">
        <v>46009</v>
      </c>
      <c r="P186" s="26">
        <v>300</v>
      </c>
      <c r="Q186" s="29" t="s">
        <v>31</v>
      </c>
      <c r="R186" s="30">
        <v>8.4499999999999993</v>
      </c>
      <c r="S186" s="29" t="str">
        <f t="shared" si="24"/>
        <v>-</v>
      </c>
      <c r="T186" s="30">
        <f t="shared" si="25"/>
        <v>2535</v>
      </c>
      <c r="U186" s="28">
        <v>46079</v>
      </c>
      <c r="V186" s="34" t="s">
        <v>31</v>
      </c>
      <c r="W186" s="33"/>
      <c r="X186" s="37" t="s">
        <v>40</v>
      </c>
      <c r="Y186" s="33" t="s">
        <v>635</v>
      </c>
      <c r="Z186" s="33" t="s">
        <v>632</v>
      </c>
      <c r="AA186" s="33" t="s">
        <v>636</v>
      </c>
      <c r="AB186" s="33" t="s">
        <v>628</v>
      </c>
    </row>
    <row r="187" spans="1:28" ht="30">
      <c r="A187" s="12" t="str">
        <f>IF('FY_25-26'!$D187="","",IF(OR('FY_25-26'!$D187="BOOHOO LADIES",'FY_25-26'!$D187="PLT",'FY_25-26'!$D187="KM"),"BUSINESS UNIT 1 - KIRAN","BUSINESS UNIT 2 - SHIFALI"))</f>
        <v>BUSINESS UNIT 2 - SHIFALI</v>
      </c>
      <c r="B187" s="26">
        <f>IF('FY_25-26'!$C187&lt;&gt;"",ROW()-ROW($B$2),"")</f>
        <v>185</v>
      </c>
      <c r="C187" s="26" t="s">
        <v>23</v>
      </c>
      <c r="D187" s="26" t="s">
        <v>24</v>
      </c>
      <c r="E187" s="27" t="s">
        <v>61</v>
      </c>
      <c r="F187" s="26" t="s">
        <v>26</v>
      </c>
      <c r="G187" s="26" t="s">
        <v>27</v>
      </c>
      <c r="H187" s="26" t="s">
        <v>601</v>
      </c>
      <c r="I187" s="26" t="s">
        <v>36</v>
      </c>
      <c r="J187" s="26" t="s">
        <v>127</v>
      </c>
      <c r="K187" s="26">
        <v>3418517</v>
      </c>
      <c r="L187" s="26" t="s">
        <v>30</v>
      </c>
      <c r="M187" s="26" t="s">
        <v>602</v>
      </c>
      <c r="N187" s="27" t="s">
        <v>603</v>
      </c>
      <c r="O187" s="28">
        <v>46010</v>
      </c>
      <c r="P187" s="26">
        <v>100</v>
      </c>
      <c r="Q187" s="29" t="s">
        <v>31</v>
      </c>
      <c r="R187" s="30">
        <v>21.5</v>
      </c>
      <c r="S187" s="29" t="str">
        <f t="shared" si="24"/>
        <v>-</v>
      </c>
      <c r="T187" s="30">
        <f t="shared" si="25"/>
        <v>2150</v>
      </c>
      <c r="U187" s="28">
        <v>46097</v>
      </c>
      <c r="V187" s="34" t="s">
        <v>31</v>
      </c>
      <c r="W187" s="33"/>
      <c r="X187" s="37" t="s">
        <v>40</v>
      </c>
      <c r="Y187" s="33" t="s">
        <v>635</v>
      </c>
      <c r="Z187" s="33" t="s">
        <v>632</v>
      </c>
      <c r="AA187" s="33" t="s">
        <v>636</v>
      </c>
      <c r="AB187" s="33" t="s">
        <v>628</v>
      </c>
    </row>
    <row r="188" spans="1:28" ht="30">
      <c r="A188" s="12" t="str">
        <f>IF('FY_25-26'!$D188="","",IF(OR('FY_25-26'!$D188="BOOHOO LADIES",'FY_25-26'!$D188="PLT",'FY_25-26'!$D188="KM"),"BUSINESS UNIT 1 - KIRAN","BUSINESS UNIT 2 - SHIFALI"))</f>
        <v>BUSINESS UNIT 2 - SHIFALI</v>
      </c>
      <c r="B188" s="26">
        <f>IF('FY_25-26'!$C188&lt;&gt;"",ROW()-ROW($B$2),"")</f>
        <v>186</v>
      </c>
      <c r="C188" s="26" t="s">
        <v>23</v>
      </c>
      <c r="D188" s="26" t="s">
        <v>24</v>
      </c>
      <c r="E188" s="27" t="s">
        <v>61</v>
      </c>
      <c r="F188" s="26" t="s">
        <v>26</v>
      </c>
      <c r="G188" s="26" t="s">
        <v>27</v>
      </c>
      <c r="H188" s="26" t="s">
        <v>604</v>
      </c>
      <c r="I188" s="26" t="s">
        <v>36</v>
      </c>
      <c r="J188" s="26" t="s">
        <v>127</v>
      </c>
      <c r="K188" s="26">
        <v>3418516</v>
      </c>
      <c r="L188" s="26" t="s">
        <v>30</v>
      </c>
      <c r="M188" s="26" t="s">
        <v>605</v>
      </c>
      <c r="N188" s="27" t="s">
        <v>606</v>
      </c>
      <c r="O188" s="28">
        <v>46010</v>
      </c>
      <c r="P188" s="26">
        <v>100</v>
      </c>
      <c r="Q188" s="29" t="s">
        <v>31</v>
      </c>
      <c r="R188" s="30">
        <v>23.5</v>
      </c>
      <c r="S188" s="29" t="str">
        <f t="shared" si="24"/>
        <v>-</v>
      </c>
      <c r="T188" s="30">
        <f t="shared" si="25"/>
        <v>2350</v>
      </c>
      <c r="U188" s="28">
        <v>46097</v>
      </c>
      <c r="V188" s="34" t="s">
        <v>31</v>
      </c>
      <c r="W188" s="33"/>
      <c r="X188" s="37" t="s">
        <v>40</v>
      </c>
      <c r="Y188" s="33" t="s">
        <v>635</v>
      </c>
      <c r="Z188" s="33" t="s">
        <v>632</v>
      </c>
      <c r="AA188" s="33" t="s">
        <v>636</v>
      </c>
      <c r="AB188" s="33" t="s">
        <v>628</v>
      </c>
    </row>
    <row r="189" spans="1:28" ht="24">
      <c r="A189" s="12" t="str">
        <f>IF('FY_25-26'!$D189="","",IF(OR('FY_25-26'!$D189="BOOHOO LADIES",'FY_25-26'!$D189="PLT",'FY_25-26'!$D189="KM"),"BUSINESS UNIT 1 - KIRAN","BUSINESS UNIT 2 - SHIFALI"))</f>
        <v>BUSINESS UNIT 2 - SHIFALI</v>
      </c>
      <c r="B189" s="26">
        <f>IF('FY_25-26'!$C189&lt;&gt;"",ROW()-ROW($B$2),"")</f>
        <v>187</v>
      </c>
      <c r="C189" s="26" t="s">
        <v>23</v>
      </c>
      <c r="D189" s="26" t="s">
        <v>145</v>
      </c>
      <c r="E189" s="27" t="s">
        <v>125</v>
      </c>
      <c r="F189" s="26" t="s">
        <v>26</v>
      </c>
      <c r="G189" s="26" t="s">
        <v>27</v>
      </c>
      <c r="H189" s="26" t="s">
        <v>607</v>
      </c>
      <c r="I189" s="26" t="s">
        <v>36</v>
      </c>
      <c r="J189" s="26" t="s">
        <v>128</v>
      </c>
      <c r="K189" s="26">
        <v>3418215</v>
      </c>
      <c r="L189" s="26" t="s">
        <v>30</v>
      </c>
      <c r="M189" s="26" t="s">
        <v>608</v>
      </c>
      <c r="N189" s="27" t="s">
        <v>609</v>
      </c>
      <c r="O189" s="28">
        <v>46010</v>
      </c>
      <c r="P189" s="26">
        <v>100</v>
      </c>
      <c r="Q189" s="29" t="s">
        <v>31</v>
      </c>
      <c r="R189" s="30">
        <v>31.5</v>
      </c>
      <c r="S189" s="29" t="str">
        <f t="shared" si="24"/>
        <v>-</v>
      </c>
      <c r="T189" s="30">
        <f t="shared" si="25"/>
        <v>3150</v>
      </c>
      <c r="U189" s="28">
        <v>46094</v>
      </c>
      <c r="V189" s="34" t="s">
        <v>31</v>
      </c>
      <c r="W189" s="33"/>
      <c r="X189" s="37" t="s">
        <v>32</v>
      </c>
      <c r="Y189" s="33" t="s">
        <v>634</v>
      </c>
      <c r="Z189" s="33" t="s">
        <v>632</v>
      </c>
      <c r="AA189" s="33" t="s">
        <v>636</v>
      </c>
      <c r="AB189" s="33" t="s">
        <v>628</v>
      </c>
    </row>
    <row r="190" spans="1:28" ht="30">
      <c r="A190" s="12" t="str">
        <f>IF('FY_25-26'!$D190="","",IF(OR('FY_25-26'!$D190="BOOHOO LADIES",'FY_25-26'!$D190="PLT",'FY_25-26'!$D190="KM"),"BUSINESS UNIT 1 - KIRAN","BUSINESS UNIT 2 - SHIFALI"))</f>
        <v>BUSINESS UNIT 2 - SHIFALI</v>
      </c>
      <c r="B190" s="26">
        <f>IF('FY_25-26'!$C190&lt;&gt;"",ROW()-ROW($B$2),"")</f>
        <v>188</v>
      </c>
      <c r="C190" s="26" t="s">
        <v>23</v>
      </c>
      <c r="D190" s="26" t="s">
        <v>145</v>
      </c>
      <c r="E190" s="27" t="s">
        <v>125</v>
      </c>
      <c r="F190" s="26" t="s">
        <v>26</v>
      </c>
      <c r="G190" s="26" t="s">
        <v>27</v>
      </c>
      <c r="H190" s="26" t="s">
        <v>610</v>
      </c>
      <c r="I190" s="26" t="s">
        <v>36</v>
      </c>
      <c r="J190" s="26" t="s">
        <v>29</v>
      </c>
      <c r="K190" s="26">
        <v>3418214</v>
      </c>
      <c r="L190" s="26" t="s">
        <v>30</v>
      </c>
      <c r="M190" s="26" t="s">
        <v>608</v>
      </c>
      <c r="N190" s="27" t="s">
        <v>611</v>
      </c>
      <c r="O190" s="28">
        <v>46010</v>
      </c>
      <c r="P190" s="26">
        <v>100</v>
      </c>
      <c r="Q190" s="29" t="s">
        <v>31</v>
      </c>
      <c r="R190" s="30">
        <v>31.5</v>
      </c>
      <c r="S190" s="29" t="str">
        <f t="shared" si="24"/>
        <v>-</v>
      </c>
      <c r="T190" s="30">
        <f t="shared" si="25"/>
        <v>3150</v>
      </c>
      <c r="U190" s="28">
        <v>46094</v>
      </c>
      <c r="V190" s="34" t="s">
        <v>31</v>
      </c>
      <c r="W190" s="33"/>
      <c r="X190" s="37" t="s">
        <v>32</v>
      </c>
      <c r="Y190" s="33" t="s">
        <v>634</v>
      </c>
      <c r="Z190" s="33" t="s">
        <v>632</v>
      </c>
      <c r="AA190" s="33" t="s">
        <v>636</v>
      </c>
      <c r="AB190" s="33" t="s">
        <v>628</v>
      </c>
    </row>
    <row r="191" spans="1:28" ht="30">
      <c r="A191" s="12" t="str">
        <f>IF('FY_25-26'!$D191="","",IF(OR('FY_25-26'!$D191="BOOHOO LADIES",'FY_25-26'!$D191="PLT",'FY_25-26'!$D191="KM"),"BUSINESS UNIT 1 - KIRAN","BUSINESS UNIT 2 - SHIFALI"))</f>
        <v>BUSINESS UNIT 2 - SHIFALI</v>
      </c>
      <c r="B191" s="26">
        <f>IF('FY_25-26'!$C191&lt;&gt;"",ROW()-ROW($B$2),"")</f>
        <v>189</v>
      </c>
      <c r="C191" s="26" t="s">
        <v>87</v>
      </c>
      <c r="D191" s="26" t="s">
        <v>24</v>
      </c>
      <c r="E191" s="27" t="s">
        <v>61</v>
      </c>
      <c r="F191" s="26" t="s">
        <v>26</v>
      </c>
      <c r="G191" s="26" t="s">
        <v>27</v>
      </c>
      <c r="H191" s="26" t="s">
        <v>31</v>
      </c>
      <c r="I191" s="26" t="s">
        <v>36</v>
      </c>
      <c r="J191" s="26" t="s">
        <v>127</v>
      </c>
      <c r="K191" s="26" t="s">
        <v>31</v>
      </c>
      <c r="L191" s="26" t="s">
        <v>30</v>
      </c>
      <c r="M191" s="26" t="s">
        <v>612</v>
      </c>
      <c r="N191" s="27" t="s">
        <v>613</v>
      </c>
      <c r="O191" s="28" t="s">
        <v>31</v>
      </c>
      <c r="P191" s="26">
        <v>100</v>
      </c>
      <c r="Q191" s="29" t="s">
        <v>31</v>
      </c>
      <c r="R191" s="30">
        <v>14.95</v>
      </c>
      <c r="S191" s="29" t="str">
        <f t="shared" si="24"/>
        <v>-</v>
      </c>
      <c r="T191" s="30">
        <f t="shared" si="25"/>
        <v>1495</v>
      </c>
      <c r="U191" s="28">
        <v>46097</v>
      </c>
      <c r="V191" s="34" t="s">
        <v>31</v>
      </c>
      <c r="W191" s="33"/>
      <c r="X191" s="37" t="s">
        <v>32</v>
      </c>
      <c r="Y191" s="33" t="s">
        <v>634</v>
      </c>
      <c r="Z191" s="33" t="s">
        <v>632</v>
      </c>
      <c r="AA191" s="33" t="s">
        <v>636</v>
      </c>
      <c r="AB191" s="33" t="s">
        <v>628</v>
      </c>
    </row>
    <row r="192" spans="1:28" ht="30">
      <c r="A192" s="12" t="str">
        <f>IF('FY_25-26'!$D192="","",IF(OR('FY_25-26'!$D192="BOOHOO LADIES",'FY_25-26'!$D192="PLT",'FY_25-26'!$D192="KM"),"BUSINESS UNIT 1 - KIRAN","BUSINESS UNIT 2 - SHIFALI"))</f>
        <v>BUSINESS UNIT 2 - SHIFALI</v>
      </c>
      <c r="B192" s="26">
        <f>IF('FY_25-26'!$C192&lt;&gt;"",ROW()-ROW($B$2),"")</f>
        <v>190</v>
      </c>
      <c r="C192" s="26" t="s">
        <v>87</v>
      </c>
      <c r="D192" s="26" t="s">
        <v>24</v>
      </c>
      <c r="E192" s="27" t="s">
        <v>61</v>
      </c>
      <c r="F192" s="26" t="s">
        <v>26</v>
      </c>
      <c r="G192" s="26" t="s">
        <v>27</v>
      </c>
      <c r="H192" s="26" t="s">
        <v>31</v>
      </c>
      <c r="I192" s="26" t="s">
        <v>36</v>
      </c>
      <c r="J192" s="26" t="s">
        <v>39</v>
      </c>
      <c r="K192" s="26" t="s">
        <v>31</v>
      </c>
      <c r="L192" s="26" t="s">
        <v>30</v>
      </c>
      <c r="M192" s="26" t="s">
        <v>614</v>
      </c>
      <c r="N192" s="27" t="s">
        <v>615</v>
      </c>
      <c r="O192" s="28" t="s">
        <v>31</v>
      </c>
      <c r="P192" s="26">
        <v>100</v>
      </c>
      <c r="Q192" s="29" t="s">
        <v>31</v>
      </c>
      <c r="R192" s="30">
        <v>17</v>
      </c>
      <c r="S192" s="29" t="str">
        <f t="shared" si="24"/>
        <v>-</v>
      </c>
      <c r="T192" s="30">
        <f t="shared" si="25"/>
        <v>1700</v>
      </c>
      <c r="U192" s="28">
        <v>46097</v>
      </c>
      <c r="V192" s="34" t="s">
        <v>31</v>
      </c>
      <c r="W192" s="33"/>
      <c r="X192" s="37" t="s">
        <v>32</v>
      </c>
      <c r="Y192" s="33" t="s">
        <v>634</v>
      </c>
      <c r="Z192" s="33" t="s">
        <v>632</v>
      </c>
      <c r="AA192" s="33" t="s">
        <v>636</v>
      </c>
      <c r="AB192" s="33" t="s">
        <v>628</v>
      </c>
    </row>
    <row r="193" spans="1:28" ht="24">
      <c r="A193" s="12" t="str">
        <f>IF('FY_25-26'!$D193="","",IF(OR('FY_25-26'!$D193="BOOHOO LADIES",'FY_25-26'!$D193="PLT",'FY_25-26'!$D193="KM"),"BUSINESS UNIT 1 - KIRAN","BUSINESS UNIT 2 - SHIFALI"))</f>
        <v>BUSINESS UNIT 1 - KIRAN</v>
      </c>
      <c r="B193" s="26">
        <f>IF('FY_25-26'!$C193&lt;&gt;"",ROW()-ROW($B$2),"")</f>
        <v>191</v>
      </c>
      <c r="C193" s="26" t="s">
        <v>149</v>
      </c>
      <c r="D193" s="26" t="s">
        <v>71</v>
      </c>
      <c r="E193" s="27" t="s">
        <v>616</v>
      </c>
      <c r="F193" s="26" t="s">
        <v>26</v>
      </c>
      <c r="G193" s="26" t="s">
        <v>27</v>
      </c>
      <c r="H193" s="26" t="s">
        <v>617</v>
      </c>
      <c r="I193" s="26" t="s">
        <v>36</v>
      </c>
      <c r="J193" s="26" t="s">
        <v>151</v>
      </c>
      <c r="K193" s="26">
        <v>70028863</v>
      </c>
      <c r="L193" s="26" t="s">
        <v>30</v>
      </c>
      <c r="M193" s="26" t="s">
        <v>618</v>
      </c>
      <c r="N193" s="27" t="s">
        <v>619</v>
      </c>
      <c r="O193" s="28">
        <v>46012</v>
      </c>
      <c r="P193" s="26">
        <v>200</v>
      </c>
      <c r="Q193" s="29">
        <v>6.86</v>
      </c>
      <c r="R193" s="30" t="s">
        <v>31</v>
      </c>
      <c r="S193" s="29">
        <f t="shared" si="24"/>
        <v>1372</v>
      </c>
      <c r="T193" s="30" t="str">
        <f t="shared" si="25"/>
        <v>-</v>
      </c>
      <c r="U193" s="28">
        <v>46111</v>
      </c>
      <c r="V193" s="34" t="s">
        <v>31</v>
      </c>
      <c r="W193" s="33"/>
      <c r="X193" s="37" t="s">
        <v>40</v>
      </c>
      <c r="Y193" s="33" t="s">
        <v>635</v>
      </c>
      <c r="Z193" s="33" t="s">
        <v>632</v>
      </c>
      <c r="AA193" s="33" t="s">
        <v>636</v>
      </c>
      <c r="AB193" s="33" t="s">
        <v>628</v>
      </c>
    </row>
    <row r="194" spans="1:28" ht="24">
      <c r="A194" s="12" t="str">
        <f>IF('FY_25-26'!$D194="","",IF(OR('FY_25-26'!$D194="BOOHOO LADIES",'FY_25-26'!$D194="PLT",'FY_25-26'!$D194="KM"),"BUSINESS UNIT 1 - KIRAN","BUSINESS UNIT 2 - SHIFALI"))</f>
        <v>BUSINESS UNIT 1 - KIRAN</v>
      </c>
      <c r="B194" s="26">
        <f>IF('FY_25-26'!$C194&lt;&gt;"",ROW()-ROW($B$2),"")</f>
        <v>192</v>
      </c>
      <c r="C194" s="26" t="s">
        <v>149</v>
      </c>
      <c r="D194" s="26" t="s">
        <v>71</v>
      </c>
      <c r="E194" s="27" t="s">
        <v>616</v>
      </c>
      <c r="F194" s="26" t="s">
        <v>26</v>
      </c>
      <c r="G194" s="26" t="s">
        <v>27</v>
      </c>
      <c r="H194" s="26" t="s">
        <v>620</v>
      </c>
      <c r="I194" s="26" t="s">
        <v>36</v>
      </c>
      <c r="J194" s="26" t="s">
        <v>151</v>
      </c>
      <c r="K194" s="26">
        <v>70028865</v>
      </c>
      <c r="L194" s="26" t="s">
        <v>30</v>
      </c>
      <c r="M194" s="26" t="s">
        <v>621</v>
      </c>
      <c r="N194" s="27" t="s">
        <v>622</v>
      </c>
      <c r="O194" s="28">
        <v>46012</v>
      </c>
      <c r="P194" s="26">
        <v>200</v>
      </c>
      <c r="Q194" s="29">
        <v>9.6199999999999992</v>
      </c>
      <c r="R194" s="30" t="s">
        <v>31</v>
      </c>
      <c r="S194" s="29">
        <f t="shared" si="24"/>
        <v>1923.9999999999998</v>
      </c>
      <c r="T194" s="30" t="str">
        <f t="shared" si="25"/>
        <v>-</v>
      </c>
      <c r="U194" s="28">
        <v>46111</v>
      </c>
      <c r="V194" s="34" t="s">
        <v>31</v>
      </c>
      <c r="W194" s="33"/>
      <c r="X194" s="37" t="s">
        <v>40</v>
      </c>
      <c r="Y194" s="33" t="s">
        <v>635</v>
      </c>
      <c r="Z194" s="33" t="s">
        <v>632</v>
      </c>
      <c r="AA194" s="33" t="s">
        <v>636</v>
      </c>
      <c r="AB194" s="33" t="s">
        <v>628</v>
      </c>
    </row>
    <row r="195" spans="1:28" ht="24">
      <c r="A195" s="12" t="str">
        <f>IF('FY_25-26'!$D195="","",IF(OR('FY_25-26'!$D195="BOOHOO LADIES",'FY_25-26'!$D195="PLT",'FY_25-26'!$D195="KM"),"BUSINESS UNIT 1 - KIRAN","BUSINESS UNIT 2 - SHIFALI"))</f>
        <v>BUSINESS UNIT 1 - KIRAN</v>
      </c>
      <c r="B195" s="26">
        <f>IF('FY_25-26'!$C195&lt;&gt;"",ROW()-ROW($B$2),"")</f>
        <v>193</v>
      </c>
      <c r="C195" s="26" t="s">
        <v>149</v>
      </c>
      <c r="D195" s="26" t="s">
        <v>71</v>
      </c>
      <c r="E195" s="27" t="s">
        <v>616</v>
      </c>
      <c r="F195" s="26" t="s">
        <v>26</v>
      </c>
      <c r="G195" s="26" t="s">
        <v>27</v>
      </c>
      <c r="H195" s="26" t="s">
        <v>623</v>
      </c>
      <c r="I195" s="26" t="s">
        <v>36</v>
      </c>
      <c r="J195" s="26" t="s">
        <v>138</v>
      </c>
      <c r="K195" s="26">
        <v>70028867</v>
      </c>
      <c r="L195" s="26" t="s">
        <v>30</v>
      </c>
      <c r="M195" s="26" t="s">
        <v>621</v>
      </c>
      <c r="N195" s="27" t="s">
        <v>624</v>
      </c>
      <c r="O195" s="28">
        <v>46012</v>
      </c>
      <c r="P195" s="26">
        <v>200</v>
      </c>
      <c r="Q195" s="29">
        <v>9.6199999999999992</v>
      </c>
      <c r="R195" s="30" t="s">
        <v>31</v>
      </c>
      <c r="S195" s="29">
        <f t="shared" si="24"/>
        <v>1923.9999999999998</v>
      </c>
      <c r="T195" s="30" t="str">
        <f t="shared" si="25"/>
        <v>-</v>
      </c>
      <c r="U195" s="28">
        <v>46111</v>
      </c>
      <c r="V195" s="34" t="s">
        <v>31</v>
      </c>
      <c r="W195" s="33"/>
      <c r="X195" s="37" t="s">
        <v>40</v>
      </c>
      <c r="Y195" s="33" t="s">
        <v>635</v>
      </c>
      <c r="Z195" s="33" t="s">
        <v>632</v>
      </c>
      <c r="AA195" s="33" t="s">
        <v>636</v>
      </c>
      <c r="AB195" s="33" t="s">
        <v>628</v>
      </c>
    </row>
    <row r="196" spans="1:28" ht="30">
      <c r="A196" s="12" t="str">
        <f>IF('FY_25-26'!$D196="","",IF(OR('FY_25-26'!$D196="BOOHOO LADIES",'FY_25-26'!$D196="PLT",'FY_25-26'!$D196="KM"),"BUSINESS UNIT 1 - KIRAN","BUSINESS UNIT 2 - SHIFALI"))</f>
        <v>BUSINESS UNIT 1 - KIRAN</v>
      </c>
      <c r="B196" s="26">
        <f>IF('FY_25-26'!$C196&lt;&gt;"",ROW()-ROW($B$2),"")</f>
        <v>194</v>
      </c>
      <c r="C196" s="26" t="s">
        <v>149</v>
      </c>
      <c r="D196" s="26" t="s">
        <v>71</v>
      </c>
      <c r="E196" s="27" t="s">
        <v>616</v>
      </c>
      <c r="F196" s="26" t="s">
        <v>26</v>
      </c>
      <c r="G196" s="26" t="s">
        <v>27</v>
      </c>
      <c r="H196" s="26" t="s">
        <v>625</v>
      </c>
      <c r="I196" s="26" t="s">
        <v>36</v>
      </c>
      <c r="J196" s="26" t="s">
        <v>138</v>
      </c>
      <c r="K196" s="26">
        <v>70028871</v>
      </c>
      <c r="L196" s="26" t="s">
        <v>30</v>
      </c>
      <c r="M196" s="26" t="s">
        <v>618</v>
      </c>
      <c r="N196" s="27" t="s">
        <v>626</v>
      </c>
      <c r="O196" s="28">
        <v>46012</v>
      </c>
      <c r="P196" s="26">
        <v>200</v>
      </c>
      <c r="Q196" s="29">
        <v>6.86</v>
      </c>
      <c r="R196" s="30" t="s">
        <v>31</v>
      </c>
      <c r="S196" s="29">
        <f t="shared" si="24"/>
        <v>1372</v>
      </c>
      <c r="T196" s="30" t="str">
        <f t="shared" si="25"/>
        <v>-</v>
      </c>
      <c r="U196" s="28">
        <v>46111</v>
      </c>
      <c r="V196" s="34" t="s">
        <v>31</v>
      </c>
      <c r="W196" s="33"/>
      <c r="X196" s="37" t="s">
        <v>40</v>
      </c>
      <c r="Y196" s="33" t="s">
        <v>635</v>
      </c>
      <c r="Z196" s="33" t="s">
        <v>632</v>
      </c>
      <c r="AA196" s="33" t="s">
        <v>636</v>
      </c>
      <c r="AB196" s="33" t="s">
        <v>628</v>
      </c>
    </row>
    <row r="197" spans="1:28" ht="12"/>
    <row r="198" spans="1:28" ht="12"/>
    <row r="199" spans="1:28" ht="12"/>
    <row r="200" spans="1:28" ht="12"/>
    <row r="201" spans="1:28" ht="12"/>
    <row r="202" spans="1:28" ht="12"/>
    <row r="203" spans="1:28" ht="12"/>
    <row r="204" spans="1:28" ht="12"/>
    <row r="205" spans="1:28" ht="12"/>
    <row r="206" spans="1:28" ht="12"/>
    <row r="207" spans="1:28" ht="12"/>
    <row r="208" spans="1:28" ht="12"/>
  </sheetData>
  <sheetProtection selectLockedCells="1" selectUnlockedCells="1"/>
  <dataConsolidate/>
  <conditionalFormatting sqref="H197:H1048576 H1:H2">
    <cfRule type="duplicateValues" dxfId="5" priority="2"/>
  </conditionalFormatting>
  <conditionalFormatting sqref="K197:K1048576 K1:K2">
    <cfRule type="duplicateValues" dxfId="4" priority="1"/>
    <cfRule type="expression" dxfId="3" priority="4">
      <formula>ISNUMBER(#REF!)</formula>
    </cfRule>
    <cfRule type="expression" dxfId="2" priority="5">
      <formula>ISNUMBER(#REF!)</formula>
    </cfRule>
    <cfRule type="containsText" dxfId="1" priority="6" operator="containsText" text="AWTD">
      <formula>NOT(ISERROR(SEARCH("AWTD",K1)))</formula>
    </cfRule>
  </conditionalFormatting>
  <conditionalFormatting sqref="M197:M1048576 M1:M2">
    <cfRule type="duplicateValues" dxfId="0" priority="3"/>
  </conditionalFormatting>
  <dataValidations count="1">
    <dataValidation type="date" operator="greaterThanOrEqual" allowBlank="1" showInputMessage="1" showErrorMessage="1" sqref="U3:U196" xr:uid="{BB3049E3-D5A7-4677-98AC-9917B3AEDB9F}">
      <formula1>#REF!</formula1>
    </dataValidation>
  </dataValidations>
  <pageMargins left="0.7" right="0.7" top="0.75" bottom="0.75" header="0.3" footer="0.3"/>
  <pageSetup scale="10" fitToWidth="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FY_25-26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Mohan</dc:creator>
  <cp:lastModifiedBy>Nitin Mohan</cp:lastModifiedBy>
  <dcterms:created xsi:type="dcterms:W3CDTF">2025-12-23T10:46:38Z</dcterms:created>
  <dcterms:modified xsi:type="dcterms:W3CDTF">2026-03-18T09:16:10Z</dcterms:modified>
</cp:coreProperties>
</file>